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ngd.sharepoint.com/sites/GlobalKeyAccountTelcoDept/Shared Documents/1. GKA PARTNERS/1. App Store &amp; OTT/Gaming Webstore_KakiGamer/"/>
    </mc:Choice>
  </mc:AlternateContent>
  <xr:revisionPtr revIDLastSave="937" documentId="8_{E04F53F4-B87C-4914-BAA9-15B778B58B33}" xr6:coauthVersionLast="47" xr6:coauthVersionMax="47" xr10:uidLastSave="{345AA70D-2512-4F86-9306-7CF1114C45BF}"/>
  <bookViews>
    <workbookView xWindow="19090" yWindow="-110" windowWidth="38620" windowHeight="21100" firstSheet="1" activeTab="1" xr2:uid="{BC72C79C-0C39-4FB2-8BE5-B39C19344815}"/>
  </bookViews>
  <sheets>
    <sheet name="Summary" sheetId="6" r:id="rId1"/>
    <sheet name="April 26" sheetId="7" r:id="rId2"/>
    <sheet name="Mac '26" sheetId="5" r:id="rId3"/>
    <sheet name="Feb '26" sheetId="4" r:id="rId4"/>
    <sheet name="Jan '26" sheetId="1" r:id="rId5"/>
    <sheet name="Forecast" sheetId="2" r:id="rId6"/>
    <sheet name="Forecast Target vs Stretch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E15" i="7"/>
  <c r="F15" i="7"/>
  <c r="G15" i="7"/>
  <c r="I15" i="7"/>
  <c r="J15" i="7"/>
  <c r="K15" i="7"/>
  <c r="E14" i="7"/>
  <c r="G14" i="7" s="1"/>
  <c r="F14" i="7"/>
  <c r="I14" i="7"/>
  <c r="J14" i="7"/>
  <c r="K14" i="7"/>
  <c r="E13" i="7"/>
  <c r="F13" i="7"/>
  <c r="I13" i="7"/>
  <c r="J13" i="7"/>
  <c r="K13" i="7"/>
  <c r="O29" i="8"/>
  <c r="O28" i="8"/>
  <c r="O26" i="8"/>
  <c r="O25" i="8"/>
  <c r="P28" i="8" s="1"/>
  <c r="O16" i="8"/>
  <c r="O20" i="8"/>
  <c r="O19" i="8"/>
  <c r="O17" i="8"/>
  <c r="O7" i="8"/>
  <c r="O10" i="8"/>
  <c r="O8" i="8"/>
  <c r="O11" i="8" s="1"/>
  <c r="E12" i="7"/>
  <c r="F12" i="7"/>
  <c r="I12" i="7"/>
  <c r="J12" i="7"/>
  <c r="K12" i="7"/>
  <c r="E11" i="7"/>
  <c r="G11" i="7" s="1"/>
  <c r="F11" i="7"/>
  <c r="I11" i="7"/>
  <c r="J11" i="7"/>
  <c r="K11" i="7"/>
  <c r="G18" i="1"/>
  <c r="E10" i="7"/>
  <c r="F10" i="7"/>
  <c r="I10" i="7"/>
  <c r="J10" i="7"/>
  <c r="K10" i="7"/>
  <c r="G13" i="7" l="1"/>
  <c r="P8" i="8"/>
  <c r="P20" i="8"/>
  <c r="P26" i="8"/>
  <c r="P29" i="8"/>
  <c r="P17" i="8"/>
  <c r="P19" i="8"/>
  <c r="P10" i="8"/>
  <c r="P11" i="8"/>
  <c r="I16" i="7"/>
  <c r="G12" i="7"/>
  <c r="G10" i="7"/>
  <c r="E9" i="7" l="1"/>
  <c r="F9" i="7"/>
  <c r="I9" i="7"/>
  <c r="J9" i="7"/>
  <c r="K9" i="7"/>
  <c r="F8" i="7"/>
  <c r="E8" i="7"/>
  <c r="I8" i="7"/>
  <c r="J8" i="7"/>
  <c r="K8" i="7"/>
  <c r="F7" i="7"/>
  <c r="E7" i="7"/>
  <c r="I7" i="7"/>
  <c r="J7" i="7"/>
  <c r="K7" i="7"/>
  <c r="G9" i="7" l="1"/>
  <c r="J16" i="7"/>
  <c r="G8" i="7"/>
  <c r="G7" i="7"/>
  <c r="I6" i="7"/>
  <c r="F6" i="7"/>
  <c r="E6" i="7"/>
  <c r="K16" i="7"/>
  <c r="K6" i="7"/>
  <c r="J6" i="7"/>
  <c r="G6" i="7" l="1"/>
  <c r="F5" i="7"/>
  <c r="E5" i="7"/>
  <c r="I5" i="7"/>
  <c r="J5" i="7"/>
  <c r="K5" i="7"/>
  <c r="K4" i="7"/>
  <c r="J4" i="7"/>
  <c r="I4" i="7"/>
  <c r="F4" i="7"/>
  <c r="E4" i="7"/>
  <c r="G4" i="7" s="1"/>
  <c r="K3" i="7"/>
  <c r="J3" i="7"/>
  <c r="I3" i="7"/>
  <c r="F3" i="7"/>
  <c r="E3" i="7"/>
  <c r="E30" i="5"/>
  <c r="G30" i="5"/>
  <c r="F30" i="5"/>
  <c r="K2" i="7"/>
  <c r="J2" i="7"/>
  <c r="I2" i="7"/>
  <c r="F2" i="7"/>
  <c r="E2" i="7"/>
  <c r="E4" i="6"/>
  <c r="C33" i="5"/>
  <c r="E2" i="5"/>
  <c r="D33" i="5"/>
  <c r="I33" i="5"/>
  <c r="M4" i="6"/>
  <c r="M3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G5" i="7" l="1"/>
  <c r="G3" i="7"/>
  <c r="G2" i="7"/>
  <c r="G3" i="6"/>
  <c r="G4" i="6"/>
  <c r="G2" i="6"/>
  <c r="J14" i="5" l="1"/>
  <c r="J15" i="5"/>
  <c r="J16" i="5"/>
  <c r="B14" i="6"/>
  <c r="F4" i="6"/>
  <c r="K3" i="6" l="1"/>
  <c r="E3" i="6"/>
  <c r="F3" i="6"/>
  <c r="F2" i="6"/>
  <c r="E2" i="6"/>
  <c r="K33" i="5"/>
  <c r="I30" i="5"/>
  <c r="J30" i="5"/>
  <c r="E31" i="5"/>
  <c r="F31" i="5"/>
  <c r="G31" i="5"/>
  <c r="G33" i="5" s="1"/>
  <c r="I31" i="5"/>
  <c r="J31" i="5"/>
  <c r="E32" i="5"/>
  <c r="F32" i="5"/>
  <c r="G32" i="5"/>
  <c r="I32" i="5"/>
  <c r="J32" i="5"/>
  <c r="I3" i="5"/>
  <c r="J3" i="5"/>
  <c r="J29" i="5"/>
  <c r="I29" i="5"/>
  <c r="F29" i="5"/>
  <c r="E29" i="5"/>
  <c r="J28" i="5"/>
  <c r="I28" i="5"/>
  <c r="F28" i="5"/>
  <c r="E28" i="5"/>
  <c r="J27" i="5"/>
  <c r="I27" i="5"/>
  <c r="F27" i="5"/>
  <c r="E27" i="5"/>
  <c r="J26" i="5"/>
  <c r="I26" i="5"/>
  <c r="F26" i="5"/>
  <c r="E26" i="5"/>
  <c r="J25" i="5"/>
  <c r="I25" i="5"/>
  <c r="F25" i="5"/>
  <c r="E25" i="5"/>
  <c r="J24" i="5"/>
  <c r="I24" i="5"/>
  <c r="F24" i="5"/>
  <c r="E24" i="5"/>
  <c r="J23" i="5"/>
  <c r="I23" i="5"/>
  <c r="F23" i="5"/>
  <c r="E23" i="5"/>
  <c r="J22" i="5"/>
  <c r="I22" i="5"/>
  <c r="F22" i="5"/>
  <c r="E22" i="5"/>
  <c r="G22" i="5" s="1"/>
  <c r="J21" i="5"/>
  <c r="I21" i="5"/>
  <c r="F21" i="5"/>
  <c r="E21" i="5"/>
  <c r="G21" i="5" s="1"/>
  <c r="J20" i="5"/>
  <c r="I20" i="5"/>
  <c r="F20" i="5"/>
  <c r="E20" i="5"/>
  <c r="J19" i="5"/>
  <c r="I19" i="5"/>
  <c r="F19" i="5"/>
  <c r="E19" i="5"/>
  <c r="G19" i="5" s="1"/>
  <c r="J18" i="5"/>
  <c r="I18" i="5"/>
  <c r="F18" i="5"/>
  <c r="E18" i="5"/>
  <c r="G18" i="5" s="1"/>
  <c r="J17" i="5"/>
  <c r="I17" i="5"/>
  <c r="F17" i="5"/>
  <c r="E17" i="5"/>
  <c r="I16" i="5"/>
  <c r="F16" i="5"/>
  <c r="E16" i="5"/>
  <c r="I15" i="5"/>
  <c r="F15" i="5"/>
  <c r="E15" i="5"/>
  <c r="I14" i="5"/>
  <c r="F14" i="5"/>
  <c r="E14" i="5"/>
  <c r="J13" i="5"/>
  <c r="I13" i="5"/>
  <c r="F13" i="5"/>
  <c r="E13" i="5"/>
  <c r="J12" i="5"/>
  <c r="I12" i="5"/>
  <c r="F12" i="5"/>
  <c r="E12" i="5"/>
  <c r="G12" i="5" s="1"/>
  <c r="J11" i="5"/>
  <c r="I11" i="5"/>
  <c r="F11" i="5"/>
  <c r="E11" i="5"/>
  <c r="G11" i="5" s="1"/>
  <c r="J10" i="5"/>
  <c r="I10" i="5"/>
  <c r="F10" i="5"/>
  <c r="E10" i="5"/>
  <c r="J9" i="5"/>
  <c r="I9" i="5"/>
  <c r="F9" i="5"/>
  <c r="E9" i="5"/>
  <c r="J8" i="5"/>
  <c r="I8" i="5"/>
  <c r="F8" i="5"/>
  <c r="E8" i="5"/>
  <c r="J7" i="5"/>
  <c r="I7" i="5"/>
  <c r="F7" i="5"/>
  <c r="E7" i="5"/>
  <c r="G7" i="5" s="1"/>
  <c r="J6" i="5"/>
  <c r="I6" i="5"/>
  <c r="F6" i="5"/>
  <c r="E6" i="5"/>
  <c r="G6" i="5" s="1"/>
  <c r="J5" i="5"/>
  <c r="I5" i="5"/>
  <c r="F5" i="5"/>
  <c r="E5" i="5"/>
  <c r="J4" i="5"/>
  <c r="I4" i="5"/>
  <c r="F4" i="5"/>
  <c r="E4" i="5"/>
  <c r="F3" i="5"/>
  <c r="E3" i="5"/>
  <c r="G3" i="5" s="1"/>
  <c r="J2" i="5"/>
  <c r="I2" i="5"/>
  <c r="F2" i="5"/>
  <c r="G2" i="5"/>
  <c r="G15" i="5" l="1"/>
  <c r="G14" i="5"/>
  <c r="F33" i="5"/>
  <c r="G9" i="5"/>
  <c r="E33" i="5"/>
  <c r="J33" i="5"/>
  <c r="G17" i="5"/>
  <c r="G23" i="5"/>
  <c r="G29" i="5"/>
  <c r="G4" i="5"/>
  <c r="G5" i="5"/>
  <c r="G27" i="5"/>
  <c r="G28" i="5"/>
  <c r="G20" i="5"/>
  <c r="G26" i="5"/>
  <c r="G8" i="5"/>
  <c r="G24" i="5"/>
  <c r="G10" i="5"/>
  <c r="G13" i="5"/>
  <c r="G16" i="5"/>
  <c r="G25" i="5"/>
  <c r="C30" i="4" l="1"/>
  <c r="D30" i="4"/>
  <c r="I11" i="4" l="1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E11" i="4"/>
  <c r="F11" i="4"/>
  <c r="E12" i="4"/>
  <c r="F12" i="4"/>
  <c r="E13" i="4"/>
  <c r="F13" i="4"/>
  <c r="E14" i="4"/>
  <c r="G14" i="4" s="1"/>
  <c r="F14" i="4"/>
  <c r="E15" i="4"/>
  <c r="F15" i="4"/>
  <c r="E16" i="4"/>
  <c r="F16" i="4"/>
  <c r="E17" i="4"/>
  <c r="F17" i="4"/>
  <c r="E18" i="4"/>
  <c r="F18" i="4"/>
  <c r="G18" i="4" s="1"/>
  <c r="E19" i="4"/>
  <c r="F19" i="4"/>
  <c r="E20" i="4"/>
  <c r="F20" i="4"/>
  <c r="E21" i="4"/>
  <c r="F21" i="4"/>
  <c r="E22" i="4"/>
  <c r="F22" i="4"/>
  <c r="E23" i="4"/>
  <c r="F23" i="4"/>
  <c r="E24" i="4"/>
  <c r="F24" i="4"/>
  <c r="J29" i="4"/>
  <c r="I29" i="4"/>
  <c r="F29" i="4"/>
  <c r="E29" i="4"/>
  <c r="J28" i="4"/>
  <c r="I28" i="4"/>
  <c r="F28" i="4"/>
  <c r="E28" i="4"/>
  <c r="J27" i="4"/>
  <c r="I27" i="4"/>
  <c r="F27" i="4"/>
  <c r="E27" i="4"/>
  <c r="G27" i="4" s="1"/>
  <c r="J26" i="4"/>
  <c r="I26" i="4"/>
  <c r="F26" i="4"/>
  <c r="E26" i="4"/>
  <c r="J25" i="4"/>
  <c r="I25" i="4"/>
  <c r="F25" i="4"/>
  <c r="E25" i="4"/>
  <c r="J10" i="4"/>
  <c r="I10" i="4"/>
  <c r="F10" i="4"/>
  <c r="E10" i="4"/>
  <c r="J9" i="4"/>
  <c r="I9" i="4"/>
  <c r="F9" i="4"/>
  <c r="E9" i="4"/>
  <c r="J8" i="4"/>
  <c r="I8" i="4"/>
  <c r="F8" i="4"/>
  <c r="E8" i="4"/>
  <c r="G8" i="4" s="1"/>
  <c r="J7" i="4"/>
  <c r="I7" i="4"/>
  <c r="F7" i="4"/>
  <c r="E7" i="4"/>
  <c r="J6" i="4"/>
  <c r="I6" i="4"/>
  <c r="F6" i="4"/>
  <c r="E6" i="4"/>
  <c r="J5" i="4"/>
  <c r="I5" i="4"/>
  <c r="F5" i="4"/>
  <c r="E5" i="4"/>
  <c r="J4" i="4"/>
  <c r="I4" i="4"/>
  <c r="F4" i="4"/>
  <c r="E4" i="4"/>
  <c r="J3" i="4"/>
  <c r="I3" i="4"/>
  <c r="F3" i="4"/>
  <c r="E3" i="4"/>
  <c r="J2" i="4"/>
  <c r="I2" i="4"/>
  <c r="F2" i="4"/>
  <c r="E2" i="4"/>
  <c r="I15" i="1"/>
  <c r="J15" i="1"/>
  <c r="I16" i="1"/>
  <c r="J16" i="1"/>
  <c r="I17" i="1"/>
  <c r="J17" i="1"/>
  <c r="E15" i="1"/>
  <c r="G15" i="1" s="1"/>
  <c r="F15" i="1"/>
  <c r="E16" i="1"/>
  <c r="G16" i="1" s="1"/>
  <c r="F16" i="1"/>
  <c r="E17" i="1"/>
  <c r="F17" i="1"/>
  <c r="G17" i="1" s="1"/>
  <c r="D18" i="1"/>
  <c r="C18" i="1"/>
  <c r="E14" i="1"/>
  <c r="F14" i="1"/>
  <c r="G14" i="1" s="1"/>
  <c r="I14" i="1"/>
  <c r="J14" i="1"/>
  <c r="E13" i="1"/>
  <c r="F13" i="1"/>
  <c r="I13" i="1"/>
  <c r="J13" i="1"/>
  <c r="G13" i="1" l="1"/>
  <c r="J18" i="1"/>
  <c r="I18" i="1"/>
  <c r="G19" i="4"/>
  <c r="G15" i="4"/>
  <c r="G16" i="4"/>
  <c r="G12" i="4"/>
  <c r="G22" i="4"/>
  <c r="G17" i="4"/>
  <c r="G23" i="4"/>
  <c r="G21" i="4"/>
  <c r="G11" i="4"/>
  <c r="G20" i="4"/>
  <c r="G13" i="4"/>
  <c r="G24" i="4"/>
  <c r="I30" i="4"/>
  <c r="J30" i="4"/>
  <c r="G4" i="4"/>
  <c r="G29" i="4"/>
  <c r="G26" i="4"/>
  <c r="G25" i="4"/>
  <c r="G28" i="4"/>
  <c r="G9" i="4"/>
  <c r="G10" i="4"/>
  <c r="G5" i="4"/>
  <c r="F30" i="4"/>
  <c r="G3" i="4"/>
  <c r="G7" i="4"/>
  <c r="E30" i="4"/>
  <c r="G2" i="4"/>
  <c r="G6" i="4"/>
  <c r="E12" i="1"/>
  <c r="F12" i="1"/>
  <c r="I12" i="1"/>
  <c r="J12" i="1"/>
  <c r="G12" i="1" l="1"/>
  <c r="G30" i="4"/>
  <c r="E11" i="1"/>
  <c r="F11" i="1"/>
  <c r="I11" i="1"/>
  <c r="J11" i="1"/>
  <c r="E10" i="1"/>
  <c r="F10" i="1"/>
  <c r="G10" i="1"/>
  <c r="I10" i="1"/>
  <c r="J10" i="1"/>
  <c r="E9" i="1"/>
  <c r="G9" i="1" s="1"/>
  <c r="F9" i="1"/>
  <c r="I9" i="1"/>
  <c r="J9" i="1"/>
  <c r="E8" i="1"/>
  <c r="F8" i="1"/>
  <c r="I8" i="1"/>
  <c r="J8" i="1"/>
  <c r="G2" i="2"/>
  <c r="G12" i="2"/>
  <c r="F12" i="2"/>
  <c r="G10" i="2"/>
  <c r="F10" i="2"/>
  <c r="G7" i="2"/>
  <c r="F7" i="2"/>
  <c r="G5" i="2"/>
  <c r="F5" i="2"/>
  <c r="G3" i="2"/>
  <c r="F3" i="2"/>
  <c r="F4" i="2"/>
  <c r="G4" i="2"/>
  <c r="F6" i="2"/>
  <c r="G6" i="2"/>
  <c r="F8" i="2"/>
  <c r="G8" i="2"/>
  <c r="F9" i="2"/>
  <c r="G9" i="2"/>
  <c r="F11" i="2"/>
  <c r="G11" i="2"/>
  <c r="F13" i="2"/>
  <c r="G13" i="2"/>
  <c r="F2" i="2"/>
  <c r="C14" i="2"/>
  <c r="D3" i="2"/>
  <c r="D4" i="2"/>
  <c r="D5" i="2"/>
  <c r="D6" i="2"/>
  <c r="D7" i="2"/>
  <c r="D8" i="2"/>
  <c r="D9" i="2"/>
  <c r="D10" i="2"/>
  <c r="D11" i="2"/>
  <c r="D12" i="2"/>
  <c r="D13" i="2"/>
  <c r="D2" i="2"/>
  <c r="J3" i="1"/>
  <c r="J4" i="1"/>
  <c r="J5" i="1"/>
  <c r="J6" i="1"/>
  <c r="J7" i="1"/>
  <c r="J2" i="1"/>
  <c r="I3" i="1"/>
  <c r="I4" i="1"/>
  <c r="I5" i="1"/>
  <c r="I6" i="1"/>
  <c r="I7" i="1"/>
  <c r="I2" i="1"/>
  <c r="E3" i="1"/>
  <c r="F3" i="1"/>
  <c r="E4" i="1"/>
  <c r="F4" i="1"/>
  <c r="E5" i="1"/>
  <c r="F5" i="1"/>
  <c r="E6" i="1"/>
  <c r="F6" i="1"/>
  <c r="E7" i="1"/>
  <c r="F7" i="1"/>
  <c r="F2" i="1"/>
  <c r="E2" i="1"/>
  <c r="F18" i="1" l="1"/>
  <c r="E18" i="1"/>
  <c r="G8" i="1"/>
  <c r="G11" i="1"/>
  <c r="G4" i="1"/>
  <c r="G7" i="1"/>
  <c r="G6" i="1"/>
  <c r="G2" i="1"/>
  <c r="G5" i="1"/>
  <c r="G3" i="1"/>
</calcChain>
</file>

<file path=xl/sharedStrings.xml><?xml version="1.0" encoding="utf-8"?>
<sst xmlns="http://schemas.openxmlformats.org/spreadsheetml/2006/main" count="145" uniqueCount="58">
  <si>
    <t>Month</t>
  </si>
  <si>
    <t>TPV</t>
  </si>
  <si>
    <t>MTU</t>
  </si>
  <si>
    <t>Trxn</t>
  </si>
  <si>
    <t>ARPU</t>
  </si>
  <si>
    <t>ABS</t>
  </si>
  <si>
    <t>AOF</t>
  </si>
  <si>
    <t>New Users</t>
  </si>
  <si>
    <t>Retained Users</t>
  </si>
  <si>
    <t>Churned Users</t>
  </si>
  <si>
    <t>Retention Rate</t>
  </si>
  <si>
    <t>Trxn Date</t>
  </si>
  <si>
    <t>Unique user</t>
  </si>
  <si>
    <t>Trxn count</t>
  </si>
  <si>
    <t>MDR</t>
  </si>
  <si>
    <t>Aff fee</t>
  </si>
  <si>
    <t>Rev</t>
  </si>
  <si>
    <t>Trxn/User</t>
  </si>
  <si>
    <t>Titles</t>
  </si>
  <si>
    <t>MLBB</t>
  </si>
  <si>
    <t>TOTAL</t>
  </si>
  <si>
    <t>MLBB, Roblox</t>
  </si>
  <si>
    <t>MLBB, PUBGM</t>
  </si>
  <si>
    <t>MLBB, PUBG, Steam</t>
  </si>
  <si>
    <t>MLBB, Steam</t>
  </si>
  <si>
    <t>MLBB, Genshin</t>
  </si>
  <si>
    <t>Kaki Gamer TPV</t>
  </si>
  <si>
    <t>Acq MTU</t>
  </si>
  <si>
    <t>Daily TPV</t>
  </si>
  <si>
    <t>Daily MTU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</si>
  <si>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</si>
  <si>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</si>
  <si>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</si>
  <si>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</si>
  <si>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</si>
  <si>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</si>
  <si>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</si>
  <si>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</si>
  <si>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</si>
  <si>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</si>
  <si>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</si>
  <si>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</si>
  <si>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Revenue</t>
  </si>
  <si>
    <t>(250k Revenue Target)</t>
  </si>
  <si>
    <t>(500k Stretch Target)</t>
  </si>
  <si>
    <t>Actual</t>
  </si>
  <si>
    <t>Revenue (8% MDR from TPV)</t>
  </si>
  <si>
    <t xml:space="preserve">TPV </t>
  </si>
  <si>
    <t>(250k TPV Target)</t>
  </si>
  <si>
    <t>(500k TPV Target)</t>
  </si>
  <si>
    <t>(500k Target)</t>
  </si>
  <si>
    <t>(250k Target)</t>
  </si>
  <si>
    <t>Total</t>
  </si>
  <si>
    <t>vs Actual</t>
  </si>
  <si>
    <t>—</t>
  </si>
  <si>
    <t>As of 12/4/2026</t>
  </si>
  <si>
    <t>Organic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</si>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</sst>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%;\(0.0%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</cellStyleXfs>
  <cellXfs count="36">
    <xf numFmtId="0" fontId="0" fillId="0" borderId="0" xfId="0"/>
    <xf numFmtId="16" fontId="0" fillId="0" borderId="0" xfId="0" applyNumberForma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3" fontId="0" fillId="0" borderId="0" xfId="0" applyNumberFormat="1"/>
    <xf numFmtId="3" fontId="2" fillId="0" borderId="0" xfId="0" applyNumberFormat="1" applyFont="1"/>
    <xf numFmtId="17" fontId="0" fillId="0" borderId="0" xfId="0" applyNumberFormat="1"/>
    <xf numFmtId="0" fontId="2" fillId="0" borderId="1" xfId="0" applyFont="1" applyBorder="1"/>
    <xf numFmtId="1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164" fontId="0" fillId="0" borderId="0" xfId="1" applyNumberFormat="1" applyFont="1"/>
    <xf numFmtId="0" fontId="4" fillId="2" borderId="2" xfId="0" applyFont="1" applyFill="1" applyBorder="1"/>
    <xf numFmtId="0" fontId="5" fillId="4" borderId="0" xfId="3"/>
    <xf numFmtId="0" fontId="5" fillId="4" borderId="1" xfId="3" applyBorder="1"/>
    <xf numFmtId="0" fontId="1" fillId="3" borderId="0" xfId="2"/>
    <xf numFmtId="17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4">
    <cellStyle name="60% - Accent2" xfId="2" builtinId="36"/>
    <cellStyle name="Accent3" xfId="3" builtinId="37"/>
    <cellStyle name="Normal" xfId="0" builtinId="0"/>
    <cellStyle name="Percent" xfId="1" builtinId="5"/>
  </cellStyles>
  <dxfs count="6">
    <dxf>
      <font>
        <color rgb="FF4EA72E"/>
      </font>
    </dxf>
    <dxf>
      <font>
        <color rgb="FFFF0000"/>
      </font>
    </dxf>
    <dxf>
      <font>
        <color rgb="FF4EA72E"/>
      </font>
    </dxf>
    <dxf>
      <font>
        <color rgb="FFFF0000"/>
      </font>
    </dxf>
    <dxf>
      <font>
        <color rgb="FF4EA72E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A22BE0-BFBD-4043-AAF5-33C0263E067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48a9df7-51e7-43ce-a933-ef6bb839047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9439-63F1-4D5D-ADEC-C958B6F94A89}">
  <dimension ref="A1:M14"/>
  <sheetViews>
    <sheetView zoomScale="120" zoomScaleNormal="120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2" max="2" width="18.453125" bestFit="1" customWidth="1"/>
    <col min="3" max="3" width="10.7265625" customWidth="1"/>
    <col min="9" max="9" width="10.453125" bestFit="1" customWidth="1"/>
    <col min="10" max="10" width="15" bestFit="1" customWidth="1"/>
    <col min="11" max="11" width="14" bestFit="1" customWidth="1"/>
  </cols>
  <sheetData>
    <row r="1" spans="1:13" s="17" customForma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I1" s="17" t="s">
        <v>7</v>
      </c>
      <c r="J1" s="17" t="s">
        <v>8</v>
      </c>
      <c r="K1" s="17" t="s">
        <v>9</v>
      </c>
      <c r="M1" s="17" t="s">
        <v>10</v>
      </c>
    </row>
    <row r="2" spans="1:13" x14ac:dyDescent="0.35">
      <c r="A2" s="8">
        <v>46023</v>
      </c>
      <c r="B2" s="11">
        <v>943.33999999999992</v>
      </c>
      <c r="C2" s="6">
        <v>49</v>
      </c>
      <c r="D2">
        <v>85</v>
      </c>
      <c r="E2" s="11">
        <f>B2/C2</f>
        <v>19.251836734693875</v>
      </c>
      <c r="F2" s="11">
        <f>B2/D2</f>
        <v>11.098117647058823</v>
      </c>
      <c r="G2" s="11">
        <f>D2/C2</f>
        <v>1.7346938775510203</v>
      </c>
      <c r="I2">
        <v>49</v>
      </c>
    </row>
    <row r="3" spans="1:13" x14ac:dyDescent="0.35">
      <c r="A3" s="8">
        <v>46054</v>
      </c>
      <c r="B3" s="11">
        <v>8263.65</v>
      </c>
      <c r="C3" s="6">
        <v>225</v>
      </c>
      <c r="D3">
        <v>479</v>
      </c>
      <c r="E3" s="11">
        <f>B3/C3</f>
        <v>36.727333333333334</v>
      </c>
      <c r="F3" s="11">
        <f>B3/D3</f>
        <v>17.251878914405008</v>
      </c>
      <c r="G3" s="11">
        <f t="shared" ref="G3:G4" si="0">D3/C3</f>
        <v>2.1288888888888891</v>
      </c>
      <c r="I3">
        <v>189</v>
      </c>
      <c r="J3">
        <v>36</v>
      </c>
      <c r="K3">
        <f>I2-J3</f>
        <v>13</v>
      </c>
      <c r="M3" s="13">
        <f>J3/C2</f>
        <v>0.73469387755102045</v>
      </c>
    </row>
    <row r="4" spans="1:13" x14ac:dyDescent="0.35">
      <c r="A4" s="8">
        <v>46082</v>
      </c>
      <c r="B4" s="11">
        <v>8065.16</v>
      </c>
      <c r="C4" s="6">
        <v>106</v>
      </c>
      <c r="D4">
        <v>342</v>
      </c>
      <c r="E4" s="11">
        <f>B4/C4</f>
        <v>76.086415094339628</v>
      </c>
      <c r="F4" s="11">
        <f>B4/D4</f>
        <v>23.582339181286549</v>
      </c>
      <c r="G4" s="11">
        <f t="shared" si="0"/>
        <v>3.2264150943396226</v>
      </c>
      <c r="I4">
        <v>65</v>
      </c>
      <c r="J4">
        <v>41</v>
      </c>
      <c r="K4">
        <v>184</v>
      </c>
      <c r="M4" s="13">
        <f>J4/C3</f>
        <v>0.18222222222222223</v>
      </c>
    </row>
    <row r="5" spans="1:13" x14ac:dyDescent="0.35">
      <c r="A5" s="8">
        <v>46113</v>
      </c>
      <c r="B5" s="6"/>
      <c r="C5" s="6"/>
      <c r="E5" s="6"/>
      <c r="F5" s="6"/>
      <c r="G5" s="6"/>
    </row>
    <row r="6" spans="1:13" x14ac:dyDescent="0.35">
      <c r="A6" s="8">
        <v>46143</v>
      </c>
      <c r="B6" s="6"/>
      <c r="C6" s="6"/>
      <c r="E6" s="6"/>
      <c r="F6" s="6"/>
      <c r="G6" s="6"/>
    </row>
    <row r="7" spans="1:13" x14ac:dyDescent="0.35">
      <c r="A7" s="8">
        <v>46174</v>
      </c>
      <c r="B7" s="6"/>
      <c r="C7" s="6"/>
      <c r="E7" s="6"/>
      <c r="F7" s="6"/>
      <c r="G7" s="6"/>
    </row>
    <row r="8" spans="1:13" x14ac:dyDescent="0.35">
      <c r="A8" s="8">
        <v>46204</v>
      </c>
      <c r="B8" s="6"/>
      <c r="C8" s="6"/>
      <c r="E8" s="6"/>
      <c r="F8" s="6"/>
      <c r="G8" s="6"/>
    </row>
    <row r="9" spans="1:13" x14ac:dyDescent="0.35">
      <c r="A9" s="8">
        <v>46235</v>
      </c>
      <c r="B9" s="6"/>
      <c r="C9" s="6"/>
      <c r="E9" s="6"/>
      <c r="F9" s="6"/>
      <c r="G9" s="6"/>
    </row>
    <row r="10" spans="1:13" x14ac:dyDescent="0.35">
      <c r="A10" s="8">
        <v>46266</v>
      </c>
      <c r="B10" s="6"/>
      <c r="C10" s="6"/>
      <c r="E10" s="6"/>
      <c r="F10" s="6"/>
      <c r="G10" s="6"/>
    </row>
    <row r="11" spans="1:13" x14ac:dyDescent="0.35">
      <c r="A11" s="8">
        <v>46296</v>
      </c>
      <c r="B11" s="6"/>
      <c r="C11" s="6"/>
      <c r="E11" s="6"/>
      <c r="F11" s="6"/>
      <c r="G11" s="6"/>
    </row>
    <row r="12" spans="1:13" x14ac:dyDescent="0.35">
      <c r="A12" s="8">
        <v>46327</v>
      </c>
      <c r="B12" s="6"/>
      <c r="C12" s="6"/>
      <c r="E12" s="6"/>
      <c r="F12" s="6"/>
      <c r="G12" s="6"/>
    </row>
    <row r="13" spans="1:13" x14ac:dyDescent="0.35">
      <c r="A13" s="8">
        <v>46357</v>
      </c>
      <c r="B13" s="6"/>
      <c r="C13" s="6"/>
      <c r="E13" s="6"/>
      <c r="F13" s="6"/>
      <c r="G13" s="6"/>
    </row>
    <row r="14" spans="1:13" x14ac:dyDescent="0.35">
      <c r="B14" s="12">
        <f>SUM(B2:B13)</f>
        <v>17272.150000000001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FFD1-5CAB-43A9-84E4-F63A20A32E5A}">
  <dimension ref="A1:L16"/>
  <sheetViews>
    <sheetView tabSelected="1" zoomScale="93" zoomScaleNormal="120" workbookViewId="0">
      <pane ySplit="1" topLeftCell="A2" activePane="bottomLeft" state="frozen"/>
      <selection pane="bottomLeft" activeCell="D30" sqref="D30"/>
    </sheetView>
  </sheetViews>
  <sheetFormatPr defaultRowHeight="14.5" x14ac:dyDescent="0.35"/>
  <cols>
    <col min="1" max="1" width="14.453125" customWidth="1"/>
    <col min="2" max="2" width="11.54296875" bestFit="1" customWidth="1"/>
    <col min="3" max="3" width="10.1796875" bestFit="1" customWidth="1"/>
    <col min="4" max="4" width="12.1796875" customWidth="1"/>
    <col min="6" max="6" width="9.26953125" customWidth="1"/>
    <col min="11" max="11" width="11" customWidth="1"/>
    <col min="12" max="12" width="20.54296875" customWidth="1"/>
    <col min="15" max="15" width="12.1796875" customWidth="1"/>
  </cols>
  <sheetData>
    <row r="1" spans="1:12" s="15" customFormat="1" x14ac:dyDescent="0.35">
      <c r="A1" s="15" t="s">
        <v>11</v>
      </c>
      <c r="B1" s="15" t="s">
        <v>12</v>
      </c>
      <c r="C1" s="15" t="s">
        <v>13</v>
      </c>
      <c r="D1" s="15" t="s">
        <v>1</v>
      </c>
      <c r="E1" s="15" t="s">
        <v>14</v>
      </c>
      <c r="F1" s="15" t="s">
        <v>15</v>
      </c>
      <c r="G1" s="15" t="s">
        <v>42</v>
      </c>
      <c r="I1" s="15" t="s">
        <v>4</v>
      </c>
      <c r="J1" s="15" t="s">
        <v>5</v>
      </c>
      <c r="K1" s="15" t="s">
        <v>17</v>
      </c>
      <c r="L1" s="16" t="s">
        <v>18</v>
      </c>
    </row>
    <row r="2" spans="1:12" x14ac:dyDescent="0.35">
      <c r="A2" s="1">
        <v>46113</v>
      </c>
      <c r="B2">
        <v>5</v>
      </c>
      <c r="C2">
        <v>10</v>
      </c>
      <c r="D2">
        <v>332.96</v>
      </c>
      <c r="E2" s="2">
        <f t="shared" ref="E2:E8" si="0">D2*1%</f>
        <v>3.3295999999999997</v>
      </c>
      <c r="F2" s="2">
        <f t="shared" ref="F2:F7" si="1">D2*7%</f>
        <v>23.307200000000002</v>
      </c>
      <c r="G2" s="2">
        <f t="shared" ref="G2:G7" si="2">E2+F2</f>
        <v>26.636800000000001</v>
      </c>
      <c r="H2" s="2"/>
      <c r="I2" s="2">
        <f t="shared" ref="I2:I7" si="3">D2/B2</f>
        <v>66.591999999999999</v>
      </c>
      <c r="J2" s="2">
        <f t="shared" ref="J2:J7" si="4">D2/C2</f>
        <v>33.295999999999999</v>
      </c>
      <c r="K2" s="2">
        <f t="shared" ref="K2:K16" si="5">C2/B2</f>
        <v>2</v>
      </c>
      <c r="L2" t="s">
        <v>19</v>
      </c>
    </row>
    <row r="3" spans="1:12" x14ac:dyDescent="0.35">
      <c r="A3" s="1">
        <v>46114</v>
      </c>
      <c r="B3">
        <v>27</v>
      </c>
      <c r="C3">
        <v>30</v>
      </c>
      <c r="D3">
        <v>809.66</v>
      </c>
      <c r="E3" s="2">
        <f t="shared" si="0"/>
        <v>8.0966000000000005</v>
      </c>
      <c r="F3" s="2">
        <f t="shared" si="1"/>
        <v>56.676200000000001</v>
      </c>
      <c r="G3" s="2">
        <f t="shared" si="2"/>
        <v>64.772800000000004</v>
      </c>
      <c r="H3" s="2"/>
      <c r="I3" s="2">
        <f t="shared" si="3"/>
        <v>29.987407407407407</v>
      </c>
      <c r="J3" s="2">
        <f t="shared" si="4"/>
        <v>26.988666666666667</v>
      </c>
      <c r="K3" s="2">
        <f t="shared" si="5"/>
        <v>1.1111111111111112</v>
      </c>
      <c r="L3" t="s">
        <v>19</v>
      </c>
    </row>
    <row r="4" spans="1:12" x14ac:dyDescent="0.35">
      <c r="A4" s="1">
        <v>46115</v>
      </c>
      <c r="B4">
        <v>55</v>
      </c>
      <c r="C4">
        <v>80</v>
      </c>
      <c r="D4">
        <v>1951.48</v>
      </c>
      <c r="E4" s="2">
        <f t="shared" si="0"/>
        <v>19.514800000000001</v>
      </c>
      <c r="F4" s="2">
        <f t="shared" si="1"/>
        <v>136.6036</v>
      </c>
      <c r="G4" s="2">
        <f t="shared" si="2"/>
        <v>156.11840000000001</v>
      </c>
      <c r="H4" s="2"/>
      <c r="I4" s="2">
        <f t="shared" si="3"/>
        <v>35.481454545454547</v>
      </c>
      <c r="J4" s="2">
        <f t="shared" si="4"/>
        <v>24.3935</v>
      </c>
      <c r="K4" s="2">
        <f t="shared" si="5"/>
        <v>1.4545454545454546</v>
      </c>
      <c r="L4" t="s">
        <v>19</v>
      </c>
    </row>
    <row r="5" spans="1:12" x14ac:dyDescent="0.35">
      <c r="A5" s="1">
        <v>46116</v>
      </c>
      <c r="B5">
        <v>17</v>
      </c>
      <c r="C5">
        <v>20</v>
      </c>
      <c r="D5">
        <v>575.76</v>
      </c>
      <c r="E5" s="2">
        <f t="shared" si="0"/>
        <v>5.7576000000000001</v>
      </c>
      <c r="F5" s="2">
        <f t="shared" si="1"/>
        <v>40.303200000000004</v>
      </c>
      <c r="G5" s="2">
        <f t="shared" si="2"/>
        <v>46.0608</v>
      </c>
      <c r="H5" s="2"/>
      <c r="I5" s="2">
        <f t="shared" si="3"/>
        <v>33.868235294117646</v>
      </c>
      <c r="J5" s="2">
        <f t="shared" si="4"/>
        <v>28.788</v>
      </c>
      <c r="K5" s="2">
        <f t="shared" si="5"/>
        <v>1.1764705882352942</v>
      </c>
      <c r="L5" t="s">
        <v>19</v>
      </c>
    </row>
    <row r="6" spans="1:12" x14ac:dyDescent="0.35">
      <c r="A6" s="1">
        <v>46117</v>
      </c>
      <c r="B6">
        <v>15</v>
      </c>
      <c r="C6">
        <v>24</v>
      </c>
      <c r="D6">
        <v>630.34</v>
      </c>
      <c r="E6" s="2">
        <f t="shared" si="0"/>
        <v>6.3034000000000008</v>
      </c>
      <c r="F6" s="2">
        <f t="shared" si="1"/>
        <v>44.12380000000001</v>
      </c>
      <c r="G6" s="2">
        <f t="shared" si="2"/>
        <v>50.427200000000013</v>
      </c>
      <c r="H6" s="2"/>
      <c r="I6" s="2">
        <f t="shared" si="3"/>
        <v>42.022666666666666</v>
      </c>
      <c r="J6" s="2">
        <f t="shared" si="4"/>
        <v>26.264166666666668</v>
      </c>
      <c r="K6" s="2">
        <f t="shared" si="5"/>
        <v>1.6</v>
      </c>
      <c r="L6" t="s">
        <v>19</v>
      </c>
    </row>
    <row r="7" spans="1:12" x14ac:dyDescent="0.35">
      <c r="A7" s="1">
        <v>46118</v>
      </c>
      <c r="B7">
        <v>15</v>
      </c>
      <c r="C7">
        <v>20</v>
      </c>
      <c r="D7">
        <v>362.85</v>
      </c>
      <c r="E7" s="2">
        <f t="shared" si="0"/>
        <v>3.6285000000000003</v>
      </c>
      <c r="F7" s="2">
        <f t="shared" si="1"/>
        <v>25.399500000000003</v>
      </c>
      <c r="G7" s="2">
        <f t="shared" si="2"/>
        <v>29.028000000000002</v>
      </c>
      <c r="H7" s="2"/>
      <c r="I7" s="2">
        <f t="shared" si="3"/>
        <v>24.19</v>
      </c>
      <c r="J7" s="2">
        <f t="shared" si="4"/>
        <v>18.142500000000002</v>
      </c>
      <c r="K7" s="2">
        <f t="shared" si="5"/>
        <v>1.3333333333333333</v>
      </c>
      <c r="L7" t="s">
        <v>19</v>
      </c>
    </row>
    <row r="8" spans="1:12" x14ac:dyDescent="0.35">
      <c r="A8" s="1">
        <v>46119</v>
      </c>
      <c r="B8">
        <v>12</v>
      </c>
      <c r="C8">
        <v>14</v>
      </c>
      <c r="D8">
        <v>325.97000000000003</v>
      </c>
      <c r="E8" s="2">
        <f t="shared" si="0"/>
        <v>3.2597000000000005</v>
      </c>
      <c r="F8" s="2">
        <f t="shared" ref="F8:F14" si="6">D8*7%</f>
        <v>22.817900000000005</v>
      </c>
      <c r="G8" s="2">
        <f t="shared" ref="G8" si="7">E8+F8</f>
        <v>26.077600000000004</v>
      </c>
      <c r="H8" s="2"/>
      <c r="I8" s="2">
        <f t="shared" ref="I8" si="8">D8/B8</f>
        <v>27.16416666666667</v>
      </c>
      <c r="J8" s="2">
        <f t="shared" ref="J8" si="9">D8/C8</f>
        <v>23.283571428571431</v>
      </c>
      <c r="K8" s="2">
        <f t="shared" ref="K8" si="10">C8/B8</f>
        <v>1.1666666666666667</v>
      </c>
      <c r="L8" t="s">
        <v>19</v>
      </c>
    </row>
    <row r="9" spans="1:12" x14ac:dyDescent="0.35">
      <c r="A9" s="1">
        <v>46120</v>
      </c>
      <c r="B9">
        <v>15</v>
      </c>
      <c r="C9">
        <v>24</v>
      </c>
      <c r="D9">
        <v>748.74</v>
      </c>
      <c r="E9" s="2">
        <f t="shared" ref="E9" si="11">D9*1%</f>
        <v>7.4874000000000001</v>
      </c>
      <c r="F9" s="2">
        <f t="shared" si="6"/>
        <v>52.411800000000007</v>
      </c>
      <c r="G9" s="2">
        <f t="shared" ref="G9" si="12">E9+F9</f>
        <v>59.899200000000008</v>
      </c>
      <c r="H9" s="2"/>
      <c r="I9" s="2">
        <f t="shared" ref="I9" si="13">D9/B9</f>
        <v>49.916000000000004</v>
      </c>
      <c r="J9" s="2">
        <f t="shared" ref="J9" si="14">D9/C9</f>
        <v>31.197500000000002</v>
      </c>
      <c r="K9" s="2">
        <f t="shared" ref="K9" si="15">C9/B9</f>
        <v>1.6</v>
      </c>
      <c r="L9" t="s">
        <v>19</v>
      </c>
    </row>
    <row r="10" spans="1:12" x14ac:dyDescent="0.35">
      <c r="A10" s="1">
        <v>46121</v>
      </c>
      <c r="B10">
        <v>16</v>
      </c>
      <c r="C10">
        <v>16</v>
      </c>
      <c r="D10">
        <v>261.63</v>
      </c>
      <c r="E10" s="2">
        <f t="shared" ref="E10" si="16">D10*1%</f>
        <v>2.6162999999999998</v>
      </c>
      <c r="F10" s="2">
        <f t="shared" si="6"/>
        <v>18.3141</v>
      </c>
      <c r="G10" s="2">
        <f t="shared" ref="G10" si="17">E10+F10</f>
        <v>20.930399999999999</v>
      </c>
      <c r="H10" s="2"/>
      <c r="I10" s="2">
        <f t="shared" ref="I10" si="18">D10/B10</f>
        <v>16.351875</v>
      </c>
      <c r="J10" s="2">
        <f t="shared" ref="J10" si="19">D10/C10</f>
        <v>16.351875</v>
      </c>
      <c r="K10" s="2">
        <f t="shared" ref="K10" si="20">C10/B10</f>
        <v>1</v>
      </c>
    </row>
    <row r="11" spans="1:12" x14ac:dyDescent="0.35">
      <c r="A11" s="1">
        <v>46122</v>
      </c>
      <c r="B11">
        <v>43</v>
      </c>
      <c r="C11">
        <v>63</v>
      </c>
      <c r="D11">
        <v>1615.36</v>
      </c>
      <c r="E11" s="2">
        <f t="shared" ref="E11" si="21">D11*1%</f>
        <v>16.153600000000001</v>
      </c>
      <c r="F11" s="2">
        <f t="shared" si="6"/>
        <v>113.07520000000001</v>
      </c>
      <c r="G11" s="2">
        <f t="shared" ref="G11" si="22">E11+F11</f>
        <v>129.22880000000001</v>
      </c>
      <c r="H11" s="2"/>
      <c r="I11" s="2">
        <f t="shared" ref="I11" si="23">D11/B11</f>
        <v>37.566511627906976</v>
      </c>
      <c r="J11" s="2">
        <f t="shared" ref="J11" si="24">D11/C11</f>
        <v>25.64063492063492</v>
      </c>
      <c r="K11" s="2">
        <f t="shared" ref="K11" si="25">C11/B11</f>
        <v>1.4651162790697674</v>
      </c>
    </row>
    <row r="12" spans="1:12" x14ac:dyDescent="0.35">
      <c r="A12" s="1">
        <v>46123</v>
      </c>
      <c r="B12">
        <v>17</v>
      </c>
      <c r="C12">
        <v>22</v>
      </c>
      <c r="D12">
        <v>684.68</v>
      </c>
      <c r="E12" s="2">
        <f t="shared" ref="E12:E14" si="26">D12*1%</f>
        <v>6.8468</v>
      </c>
      <c r="F12" s="2">
        <f t="shared" si="6"/>
        <v>47.927599999999998</v>
      </c>
      <c r="G12" s="2">
        <f t="shared" ref="G12:G14" si="27">E12+F12</f>
        <v>54.7744</v>
      </c>
      <c r="H12" s="2"/>
      <c r="I12" s="2">
        <f t="shared" ref="I12:I14" si="28">D12/B12</f>
        <v>40.275294117647057</v>
      </c>
      <c r="J12" s="2">
        <f t="shared" ref="J12:J14" si="29">D12/C12</f>
        <v>31.121818181818181</v>
      </c>
      <c r="K12" s="2">
        <f t="shared" ref="K12:K14" si="30">C12/B12</f>
        <v>1.2941176470588236</v>
      </c>
    </row>
    <row r="13" spans="1:12" x14ac:dyDescent="0.35">
      <c r="A13" s="1">
        <v>46124</v>
      </c>
      <c r="B13">
        <v>26</v>
      </c>
      <c r="C13">
        <v>33</v>
      </c>
      <c r="D13">
        <v>628.92999999999995</v>
      </c>
      <c r="E13" s="2">
        <f t="shared" si="26"/>
        <v>6.2892999999999999</v>
      </c>
      <c r="F13" s="2">
        <f t="shared" si="6"/>
        <v>44.025100000000002</v>
      </c>
      <c r="G13" s="2">
        <f t="shared" si="27"/>
        <v>50.314399999999999</v>
      </c>
      <c r="H13" s="2"/>
      <c r="I13" s="2">
        <f t="shared" si="28"/>
        <v>24.189615384615383</v>
      </c>
      <c r="J13" s="2">
        <f t="shared" si="29"/>
        <v>19.058484848484849</v>
      </c>
      <c r="K13" s="2">
        <f t="shared" si="30"/>
        <v>1.2692307692307692</v>
      </c>
    </row>
    <row r="14" spans="1:12" x14ac:dyDescent="0.35">
      <c r="A14" s="1">
        <v>46125</v>
      </c>
      <c r="B14">
        <v>16</v>
      </c>
      <c r="C14">
        <v>18</v>
      </c>
      <c r="D14">
        <v>236.17</v>
      </c>
      <c r="E14" s="2">
        <f t="shared" si="26"/>
        <v>2.3616999999999999</v>
      </c>
      <c r="F14" s="2">
        <f t="shared" si="6"/>
        <v>16.5319</v>
      </c>
      <c r="G14" s="2">
        <f t="shared" si="27"/>
        <v>18.893599999999999</v>
      </c>
      <c r="H14" s="2"/>
      <c r="I14" s="2">
        <f t="shared" si="28"/>
        <v>14.760624999999999</v>
      </c>
      <c r="J14" s="2">
        <f t="shared" si="29"/>
        <v>13.120555555555555</v>
      </c>
      <c r="K14" s="2">
        <f t="shared" si="30"/>
        <v>1.125</v>
      </c>
    </row>
    <row r="15" spans="1:12" s="34" customFormat="1" x14ac:dyDescent="0.35">
      <c r="A15" s="33">
        <v>46126</v>
      </c>
      <c r="B15" s="34">
        <v>13</v>
      </c>
      <c r="C15" s="34">
        <v>14</v>
      </c>
      <c r="D15" s="34">
        <v>235.98</v>
      </c>
      <c r="E15" s="35">
        <f t="shared" ref="E15" si="31">D15*1%</f>
        <v>2.3597999999999999</v>
      </c>
      <c r="F15" s="35">
        <f t="shared" ref="F15" si="32">D15*7%</f>
        <v>16.518599999999999</v>
      </c>
      <c r="G15" s="35">
        <f t="shared" ref="G15" si="33">E15+F15</f>
        <v>18.878399999999999</v>
      </c>
      <c r="H15" s="35"/>
      <c r="I15" s="35">
        <f t="shared" ref="I15" si="34">D15/B15</f>
        <v>18.152307692307691</v>
      </c>
      <c r="J15" s="35">
        <f t="shared" ref="J15" si="35">D15/C15</f>
        <v>16.855714285714285</v>
      </c>
      <c r="K15" s="35">
        <f t="shared" ref="K15" si="36">C15/B15</f>
        <v>1.0769230769230769</v>
      </c>
    </row>
    <row r="16" spans="1:12" x14ac:dyDescent="0.35">
      <c r="A16" s="5" t="s">
        <v>20</v>
      </c>
      <c r="B16" s="7">
        <f>SUM(B2:B15)</f>
        <v>292</v>
      </c>
      <c r="C16" s="7">
        <f>SUM(C2:C15)</f>
        <v>388</v>
      </c>
      <c r="D16" s="12">
        <f>SUM(D2:D15)</f>
        <v>9400.51</v>
      </c>
      <c r="E16" s="12">
        <f>SUM(E2:E15)</f>
        <v>94.005099999999999</v>
      </c>
      <c r="F16" s="12">
        <f>SUM(F2:F15)</f>
        <v>658.03569999999991</v>
      </c>
      <c r="G16" s="12">
        <f>SUM(G2:G15)</f>
        <v>752.04079999999999</v>
      </c>
      <c r="H16" s="12"/>
      <c r="I16" s="12">
        <f>D16/B16</f>
        <v>32.193527397260276</v>
      </c>
      <c r="J16" s="12">
        <f>D16/C16</f>
        <v>24.22811855670103</v>
      </c>
      <c r="K16" s="12">
        <f t="shared" si="5"/>
        <v>1.3287671232876712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C1B1-E61B-4B1B-8F4A-9ADE500E7DFE}">
  <dimension ref="A1:L33"/>
  <sheetViews>
    <sheetView zoomScale="120" zoomScaleNormal="120" workbookViewId="0">
      <pane ySplit="1" topLeftCell="A17" activePane="bottomLeft" state="frozen"/>
      <selection pane="bottomLeft" activeCell="D33" sqref="D33"/>
    </sheetView>
  </sheetViews>
  <sheetFormatPr defaultRowHeight="14.5" x14ac:dyDescent="0.35"/>
  <cols>
    <col min="1" max="1" width="14.453125" customWidth="1"/>
    <col min="2" max="2" width="11.54296875" bestFit="1" customWidth="1"/>
    <col min="3" max="3" width="10.1796875" bestFit="1" customWidth="1"/>
    <col min="4" max="4" width="12.1796875" customWidth="1"/>
    <col min="6" max="6" width="9.26953125" customWidth="1"/>
    <col min="11" max="11" width="11" customWidth="1"/>
    <col min="12" max="12" width="20.54296875" customWidth="1"/>
    <col min="15" max="15" width="12.1796875" customWidth="1"/>
  </cols>
  <sheetData>
    <row r="1" spans="1:12" s="15" customFormat="1" x14ac:dyDescent="0.35">
      <c r="A1" s="15" t="s">
        <v>11</v>
      </c>
      <c r="B1" s="15" t="s">
        <v>12</v>
      </c>
      <c r="C1" s="15" t="s">
        <v>13</v>
      </c>
      <c r="D1" s="15" t="s">
        <v>1</v>
      </c>
      <c r="E1" s="15" t="s">
        <v>14</v>
      </c>
      <c r="F1" s="15" t="s">
        <v>15</v>
      </c>
      <c r="G1" s="15" t="s">
        <v>16</v>
      </c>
      <c r="I1" s="15" t="s">
        <v>4</v>
      </c>
      <c r="J1" s="15" t="s">
        <v>5</v>
      </c>
      <c r="K1" s="15" t="s">
        <v>17</v>
      </c>
      <c r="L1" s="16" t="s">
        <v>18</v>
      </c>
    </row>
    <row r="2" spans="1:12" x14ac:dyDescent="0.35">
      <c r="A2" s="1">
        <v>46082</v>
      </c>
      <c r="B2">
        <v>7</v>
      </c>
      <c r="C2">
        <v>8</v>
      </c>
      <c r="D2">
        <v>183.28</v>
      </c>
      <c r="E2" s="2">
        <f>D2*1%</f>
        <v>1.8328</v>
      </c>
      <c r="F2" s="2">
        <f>D2*7%</f>
        <v>12.829600000000001</v>
      </c>
      <c r="G2" s="2">
        <f>E2+F2</f>
        <v>14.662400000000002</v>
      </c>
      <c r="H2" s="2"/>
      <c r="I2" s="2">
        <f>D2/B2</f>
        <v>26.182857142857141</v>
      </c>
      <c r="J2" s="2">
        <f>D2/C2</f>
        <v>22.91</v>
      </c>
      <c r="K2" s="2">
        <f>C2/B2</f>
        <v>1.1428571428571428</v>
      </c>
      <c r="L2" t="s">
        <v>19</v>
      </c>
    </row>
    <row r="3" spans="1:12" x14ac:dyDescent="0.35">
      <c r="A3" s="1">
        <v>46083</v>
      </c>
      <c r="B3">
        <v>3</v>
      </c>
      <c r="C3">
        <v>7</v>
      </c>
      <c r="D3">
        <v>43.12</v>
      </c>
      <c r="E3" s="2">
        <f t="shared" ref="E3:E29" si="0">D3*1%</f>
        <v>0.43119999999999997</v>
      </c>
      <c r="F3" s="2">
        <f t="shared" ref="F3:F29" si="1">D3*7%</f>
        <v>3.0184000000000002</v>
      </c>
      <c r="G3" s="2">
        <f t="shared" ref="G3:G29" si="2">E3+F3</f>
        <v>3.4496000000000002</v>
      </c>
      <c r="H3" s="2"/>
      <c r="I3" s="2">
        <f>D3/B3</f>
        <v>14.373333333333333</v>
      </c>
      <c r="J3" s="2">
        <f>D3/C3</f>
        <v>6.1599999999999993</v>
      </c>
      <c r="K3" s="2">
        <f t="shared" ref="K3:K32" si="3">C3/B3</f>
        <v>2.3333333333333335</v>
      </c>
    </row>
    <row r="4" spans="1:12" x14ac:dyDescent="0.35">
      <c r="A4" s="1">
        <v>46084</v>
      </c>
      <c r="B4">
        <v>7</v>
      </c>
      <c r="C4">
        <v>10</v>
      </c>
      <c r="D4">
        <v>232.76</v>
      </c>
      <c r="E4" s="2">
        <f t="shared" si="0"/>
        <v>2.3275999999999999</v>
      </c>
      <c r="F4" s="2">
        <f t="shared" si="1"/>
        <v>16.293200000000002</v>
      </c>
      <c r="G4" s="2">
        <f t="shared" si="2"/>
        <v>18.620800000000003</v>
      </c>
      <c r="H4" s="2"/>
      <c r="I4" s="2">
        <f t="shared" ref="I4:I29" si="4">D4/B4</f>
        <v>33.251428571428569</v>
      </c>
      <c r="J4" s="2">
        <f t="shared" ref="J4:J29" si="5">D4/C4</f>
        <v>23.276</v>
      </c>
      <c r="K4" s="2">
        <f t="shared" si="3"/>
        <v>1.4285714285714286</v>
      </c>
    </row>
    <row r="5" spans="1:12" x14ac:dyDescent="0.35">
      <c r="A5" s="1">
        <v>46085</v>
      </c>
      <c r="B5">
        <v>4</v>
      </c>
      <c r="C5">
        <v>4</v>
      </c>
      <c r="D5">
        <v>64.17</v>
      </c>
      <c r="E5" s="2">
        <f t="shared" si="0"/>
        <v>0.64170000000000005</v>
      </c>
      <c r="F5" s="2">
        <f t="shared" si="1"/>
        <v>4.4919000000000002</v>
      </c>
      <c r="G5" s="2">
        <f t="shared" si="2"/>
        <v>5.1336000000000004</v>
      </c>
      <c r="H5" s="2"/>
      <c r="I5" s="2">
        <f t="shared" si="4"/>
        <v>16.0425</v>
      </c>
      <c r="J5" s="2">
        <f t="shared" si="5"/>
        <v>16.0425</v>
      </c>
      <c r="K5" s="2">
        <f t="shared" si="3"/>
        <v>1</v>
      </c>
    </row>
    <row r="6" spans="1:12" x14ac:dyDescent="0.35">
      <c r="A6" s="1">
        <v>46086</v>
      </c>
      <c r="B6">
        <v>2</v>
      </c>
      <c r="C6">
        <v>3</v>
      </c>
      <c r="D6">
        <v>47.36</v>
      </c>
      <c r="E6" s="2">
        <f t="shared" si="0"/>
        <v>0.47360000000000002</v>
      </c>
      <c r="F6" s="2">
        <f t="shared" si="1"/>
        <v>3.3152000000000004</v>
      </c>
      <c r="G6" s="2">
        <f t="shared" si="2"/>
        <v>3.7888000000000002</v>
      </c>
      <c r="H6" s="2"/>
      <c r="I6" s="2">
        <f t="shared" si="4"/>
        <v>23.68</v>
      </c>
      <c r="J6" s="2">
        <f t="shared" si="5"/>
        <v>15.786666666666667</v>
      </c>
      <c r="K6" s="2">
        <f t="shared" si="3"/>
        <v>1.5</v>
      </c>
    </row>
    <row r="7" spans="1:12" x14ac:dyDescent="0.35">
      <c r="A7" s="1">
        <v>46087</v>
      </c>
      <c r="B7">
        <v>5</v>
      </c>
      <c r="C7">
        <v>10</v>
      </c>
      <c r="D7" s="11">
        <v>464.64</v>
      </c>
      <c r="E7" s="2">
        <f t="shared" si="0"/>
        <v>4.6463999999999999</v>
      </c>
      <c r="F7" s="2">
        <f t="shared" si="1"/>
        <v>32.524799999999999</v>
      </c>
      <c r="G7" s="2">
        <f t="shared" si="2"/>
        <v>37.171199999999999</v>
      </c>
      <c r="H7" s="2"/>
      <c r="I7" s="2">
        <f t="shared" si="4"/>
        <v>92.927999999999997</v>
      </c>
      <c r="J7" s="2">
        <f t="shared" si="5"/>
        <v>46.463999999999999</v>
      </c>
      <c r="K7" s="2">
        <f t="shared" si="3"/>
        <v>2</v>
      </c>
    </row>
    <row r="8" spans="1:12" x14ac:dyDescent="0.35">
      <c r="A8" s="1">
        <v>46088</v>
      </c>
      <c r="B8">
        <v>5</v>
      </c>
      <c r="C8">
        <v>9</v>
      </c>
      <c r="D8">
        <v>599.19000000000005</v>
      </c>
      <c r="E8" s="2">
        <f t="shared" si="0"/>
        <v>5.9919000000000011</v>
      </c>
      <c r="F8" s="2">
        <f t="shared" si="1"/>
        <v>41.943300000000008</v>
      </c>
      <c r="G8" s="2">
        <f t="shared" si="2"/>
        <v>47.935200000000009</v>
      </c>
      <c r="H8" s="2"/>
      <c r="I8" s="2">
        <f t="shared" si="4"/>
        <v>119.83800000000001</v>
      </c>
      <c r="J8" s="2">
        <f t="shared" si="5"/>
        <v>66.576666666666668</v>
      </c>
      <c r="K8" s="2">
        <f t="shared" si="3"/>
        <v>1.8</v>
      </c>
    </row>
    <row r="9" spans="1:12" x14ac:dyDescent="0.35">
      <c r="A9" s="1">
        <v>46089</v>
      </c>
      <c r="B9">
        <v>8</v>
      </c>
      <c r="C9">
        <v>9</v>
      </c>
      <c r="D9" s="11">
        <v>96.27</v>
      </c>
      <c r="E9" s="2">
        <f t="shared" si="0"/>
        <v>0.9627</v>
      </c>
      <c r="F9" s="2">
        <f t="shared" si="1"/>
        <v>6.7389000000000001</v>
      </c>
      <c r="G9" s="2">
        <f t="shared" si="2"/>
        <v>7.7016</v>
      </c>
      <c r="H9" s="2"/>
      <c r="I9" s="2">
        <f t="shared" si="4"/>
        <v>12.03375</v>
      </c>
      <c r="J9" s="2">
        <f t="shared" si="5"/>
        <v>10.696666666666665</v>
      </c>
      <c r="K9" s="2">
        <f t="shared" si="3"/>
        <v>1.125</v>
      </c>
    </row>
    <row r="10" spans="1:12" x14ac:dyDescent="0.35">
      <c r="A10" s="1">
        <v>46090</v>
      </c>
      <c r="B10">
        <v>7</v>
      </c>
      <c r="C10">
        <v>14</v>
      </c>
      <c r="D10">
        <v>277.97000000000003</v>
      </c>
      <c r="E10" s="2">
        <f t="shared" si="0"/>
        <v>2.7797000000000005</v>
      </c>
      <c r="F10" s="2">
        <f t="shared" si="1"/>
        <v>19.457900000000002</v>
      </c>
      <c r="G10" s="2">
        <f t="shared" si="2"/>
        <v>22.237600000000004</v>
      </c>
      <c r="H10" s="2"/>
      <c r="I10" s="2">
        <f t="shared" si="4"/>
        <v>39.71</v>
      </c>
      <c r="J10" s="2">
        <f t="shared" si="5"/>
        <v>19.855</v>
      </c>
      <c r="K10" s="2">
        <f t="shared" si="3"/>
        <v>2</v>
      </c>
    </row>
    <row r="11" spans="1:12" x14ac:dyDescent="0.35">
      <c r="A11" s="1">
        <v>46091</v>
      </c>
      <c r="B11">
        <v>4</v>
      </c>
      <c r="C11">
        <v>4</v>
      </c>
      <c r="D11" s="11">
        <v>19.09</v>
      </c>
      <c r="E11" s="2">
        <f t="shared" si="0"/>
        <v>0.19090000000000001</v>
      </c>
      <c r="F11" s="2">
        <f t="shared" si="1"/>
        <v>1.3363</v>
      </c>
      <c r="G11" s="2">
        <f t="shared" si="2"/>
        <v>1.5272000000000001</v>
      </c>
      <c r="H11" s="2"/>
      <c r="I11" s="2">
        <f t="shared" si="4"/>
        <v>4.7725</v>
      </c>
      <c r="J11" s="2">
        <f t="shared" si="5"/>
        <v>4.7725</v>
      </c>
      <c r="K11" s="2">
        <f t="shared" si="3"/>
        <v>1</v>
      </c>
    </row>
    <row r="12" spans="1:12" x14ac:dyDescent="0.35">
      <c r="A12" s="1">
        <v>46092</v>
      </c>
      <c r="B12">
        <v>3</v>
      </c>
      <c r="C12">
        <v>7</v>
      </c>
      <c r="D12">
        <v>33.65</v>
      </c>
      <c r="E12" s="2">
        <f t="shared" si="0"/>
        <v>0.33649999999999997</v>
      </c>
      <c r="F12" s="2">
        <f t="shared" si="1"/>
        <v>2.3555000000000001</v>
      </c>
      <c r="G12" s="2">
        <f t="shared" si="2"/>
        <v>2.6920000000000002</v>
      </c>
      <c r="H12" s="2"/>
      <c r="I12" s="2">
        <f t="shared" si="4"/>
        <v>11.216666666666667</v>
      </c>
      <c r="J12" s="2">
        <f t="shared" si="5"/>
        <v>4.8071428571428569</v>
      </c>
      <c r="K12" s="2">
        <f t="shared" si="3"/>
        <v>2.3333333333333335</v>
      </c>
    </row>
    <row r="13" spans="1:12" x14ac:dyDescent="0.35">
      <c r="A13" s="1">
        <v>46093</v>
      </c>
      <c r="B13">
        <v>6</v>
      </c>
      <c r="C13">
        <v>8</v>
      </c>
      <c r="D13" s="11">
        <v>57.73</v>
      </c>
      <c r="E13" s="2">
        <f t="shared" si="0"/>
        <v>0.57730000000000004</v>
      </c>
      <c r="F13" s="2">
        <f t="shared" si="1"/>
        <v>4.0411000000000001</v>
      </c>
      <c r="G13" s="2">
        <f t="shared" si="2"/>
        <v>4.6184000000000003</v>
      </c>
      <c r="H13" s="2"/>
      <c r="I13" s="2">
        <f t="shared" si="4"/>
        <v>9.6216666666666661</v>
      </c>
      <c r="J13" s="2">
        <f t="shared" si="5"/>
        <v>7.2162499999999996</v>
      </c>
      <c r="K13" s="2">
        <f t="shared" si="3"/>
        <v>1.3333333333333333</v>
      </c>
    </row>
    <row r="14" spans="1:12" x14ac:dyDescent="0.35">
      <c r="A14" s="1">
        <v>46094</v>
      </c>
      <c r="B14">
        <v>8</v>
      </c>
      <c r="C14">
        <v>17</v>
      </c>
      <c r="D14" s="11">
        <v>324.29000000000002</v>
      </c>
      <c r="E14" s="2">
        <f t="shared" si="0"/>
        <v>3.2429000000000001</v>
      </c>
      <c r="F14" s="2">
        <f t="shared" si="1"/>
        <v>22.700300000000002</v>
      </c>
      <c r="G14" s="2">
        <f t="shared" si="2"/>
        <v>25.943200000000001</v>
      </c>
      <c r="H14" s="2"/>
      <c r="I14" s="2">
        <f t="shared" si="4"/>
        <v>40.536250000000003</v>
      </c>
      <c r="J14" s="2">
        <f>D14/C14</f>
        <v>19.075882352941179</v>
      </c>
      <c r="K14" s="2">
        <f t="shared" si="3"/>
        <v>2.125</v>
      </c>
    </row>
    <row r="15" spans="1:12" x14ac:dyDescent="0.35">
      <c r="A15" s="1">
        <v>46095</v>
      </c>
      <c r="B15">
        <v>12</v>
      </c>
      <c r="C15">
        <v>15</v>
      </c>
      <c r="D15" s="11">
        <v>262.87</v>
      </c>
      <c r="E15" s="2">
        <f t="shared" si="0"/>
        <v>2.6287000000000003</v>
      </c>
      <c r="F15" s="2">
        <f t="shared" si="1"/>
        <v>18.400900000000004</v>
      </c>
      <c r="G15" s="2">
        <f t="shared" si="2"/>
        <v>21.029600000000002</v>
      </c>
      <c r="H15" s="2"/>
      <c r="I15" s="2">
        <f t="shared" si="4"/>
        <v>21.905833333333334</v>
      </c>
      <c r="J15" s="2">
        <f>D15/C15</f>
        <v>17.524666666666668</v>
      </c>
      <c r="K15" s="2">
        <f t="shared" si="3"/>
        <v>1.25</v>
      </c>
    </row>
    <row r="16" spans="1:12" x14ac:dyDescent="0.35">
      <c r="A16" s="1">
        <v>46096</v>
      </c>
      <c r="B16">
        <v>7</v>
      </c>
      <c r="C16">
        <v>8</v>
      </c>
      <c r="D16" s="11">
        <v>289.17</v>
      </c>
      <c r="E16" s="2">
        <f t="shared" si="0"/>
        <v>2.8917000000000002</v>
      </c>
      <c r="F16" s="2">
        <f t="shared" si="1"/>
        <v>20.241900000000005</v>
      </c>
      <c r="G16" s="2">
        <f t="shared" si="2"/>
        <v>23.133600000000005</v>
      </c>
      <c r="H16" s="2"/>
      <c r="I16" s="2">
        <f t="shared" si="4"/>
        <v>41.31</v>
      </c>
      <c r="J16" s="2">
        <f>D16/C16</f>
        <v>36.146250000000002</v>
      </c>
      <c r="K16" s="2">
        <f t="shared" si="3"/>
        <v>1.1428571428571428</v>
      </c>
    </row>
    <row r="17" spans="1:11" x14ac:dyDescent="0.35">
      <c r="A17" s="1">
        <v>46097</v>
      </c>
      <c r="B17">
        <v>5</v>
      </c>
      <c r="C17">
        <v>6</v>
      </c>
      <c r="D17" s="11">
        <v>42.04</v>
      </c>
      <c r="E17" s="2">
        <f t="shared" si="0"/>
        <v>0.4204</v>
      </c>
      <c r="F17" s="2">
        <f t="shared" si="1"/>
        <v>2.9428000000000001</v>
      </c>
      <c r="G17" s="2">
        <f t="shared" si="2"/>
        <v>3.3632</v>
      </c>
      <c r="H17" s="2"/>
      <c r="I17" s="2">
        <f t="shared" si="4"/>
        <v>8.4079999999999995</v>
      </c>
      <c r="J17" s="2">
        <f t="shared" si="5"/>
        <v>7.0066666666666668</v>
      </c>
      <c r="K17" s="2">
        <f t="shared" si="3"/>
        <v>1.2</v>
      </c>
    </row>
    <row r="18" spans="1:11" x14ac:dyDescent="0.35">
      <c r="A18" s="1">
        <v>46098</v>
      </c>
      <c r="B18">
        <v>19</v>
      </c>
      <c r="C18">
        <v>26</v>
      </c>
      <c r="D18" s="11">
        <v>374.51</v>
      </c>
      <c r="E18" s="2">
        <f t="shared" si="0"/>
        <v>3.7450999999999999</v>
      </c>
      <c r="F18" s="2">
        <f t="shared" si="1"/>
        <v>26.215700000000002</v>
      </c>
      <c r="G18" s="2">
        <f t="shared" si="2"/>
        <v>29.960800000000003</v>
      </c>
      <c r="H18" s="2"/>
      <c r="I18" s="2">
        <f t="shared" si="4"/>
        <v>19.711052631578948</v>
      </c>
      <c r="J18" s="2">
        <f t="shared" si="5"/>
        <v>14.404230769230768</v>
      </c>
      <c r="K18" s="2">
        <f t="shared" si="3"/>
        <v>1.368421052631579</v>
      </c>
    </row>
    <row r="19" spans="1:11" x14ac:dyDescent="0.35">
      <c r="A19" s="1">
        <v>46099</v>
      </c>
      <c r="B19">
        <v>14</v>
      </c>
      <c r="C19">
        <v>20</v>
      </c>
      <c r="D19" s="11">
        <v>269.73</v>
      </c>
      <c r="E19" s="2">
        <f t="shared" si="0"/>
        <v>2.6973000000000003</v>
      </c>
      <c r="F19" s="2">
        <f t="shared" si="1"/>
        <v>18.881100000000004</v>
      </c>
      <c r="G19" s="2">
        <f t="shared" si="2"/>
        <v>21.578400000000002</v>
      </c>
      <c r="H19" s="2"/>
      <c r="I19" s="2">
        <f t="shared" si="4"/>
        <v>19.266428571428573</v>
      </c>
      <c r="J19" s="2">
        <f t="shared" si="5"/>
        <v>13.486500000000001</v>
      </c>
      <c r="K19" s="2">
        <f t="shared" si="3"/>
        <v>1.4285714285714286</v>
      </c>
    </row>
    <row r="20" spans="1:11" x14ac:dyDescent="0.35">
      <c r="A20" s="1">
        <v>46100</v>
      </c>
      <c r="B20">
        <v>5</v>
      </c>
      <c r="C20">
        <v>5</v>
      </c>
      <c r="D20" s="11">
        <v>17.38</v>
      </c>
      <c r="E20" s="2">
        <f t="shared" si="0"/>
        <v>0.17379999999999998</v>
      </c>
      <c r="F20" s="2">
        <f t="shared" si="1"/>
        <v>1.2166000000000001</v>
      </c>
      <c r="G20" s="2">
        <f t="shared" si="2"/>
        <v>1.3904000000000001</v>
      </c>
      <c r="H20" s="2"/>
      <c r="I20" s="2">
        <f t="shared" si="4"/>
        <v>3.476</v>
      </c>
      <c r="J20" s="2">
        <f t="shared" si="5"/>
        <v>3.476</v>
      </c>
      <c r="K20" s="2">
        <f t="shared" si="3"/>
        <v>1</v>
      </c>
    </row>
    <row r="21" spans="1:11" x14ac:dyDescent="0.35">
      <c r="A21" s="1">
        <v>46101</v>
      </c>
      <c r="B21">
        <v>33</v>
      </c>
      <c r="C21">
        <v>49</v>
      </c>
      <c r="D21" s="11">
        <v>605.69000000000005</v>
      </c>
      <c r="E21" s="2">
        <f t="shared" si="0"/>
        <v>6.0569000000000006</v>
      </c>
      <c r="F21" s="2">
        <f t="shared" si="1"/>
        <v>42.398300000000006</v>
      </c>
      <c r="G21" s="2">
        <f t="shared" si="2"/>
        <v>48.455200000000005</v>
      </c>
      <c r="H21" s="2"/>
      <c r="I21" s="2">
        <f t="shared" si="4"/>
        <v>18.354242424242425</v>
      </c>
      <c r="J21" s="2">
        <f t="shared" si="5"/>
        <v>12.361020408163267</v>
      </c>
      <c r="K21" s="2">
        <f t="shared" si="3"/>
        <v>1.4848484848484849</v>
      </c>
    </row>
    <row r="22" spans="1:11" x14ac:dyDescent="0.35">
      <c r="A22" s="1">
        <v>46102</v>
      </c>
      <c r="B22">
        <v>14</v>
      </c>
      <c r="C22">
        <v>15</v>
      </c>
      <c r="D22" s="11">
        <v>334.7</v>
      </c>
      <c r="E22" s="2">
        <f t="shared" si="0"/>
        <v>3.347</v>
      </c>
      <c r="F22" s="2">
        <f t="shared" si="1"/>
        <v>23.429000000000002</v>
      </c>
      <c r="G22" s="2">
        <f t="shared" si="2"/>
        <v>26.776000000000003</v>
      </c>
      <c r="H22" s="2"/>
      <c r="I22" s="2">
        <f t="shared" si="4"/>
        <v>23.907142857142855</v>
      </c>
      <c r="J22" s="2">
        <f t="shared" si="5"/>
        <v>22.313333333333333</v>
      </c>
      <c r="K22" s="2">
        <f t="shared" si="3"/>
        <v>1.0714285714285714</v>
      </c>
    </row>
    <row r="23" spans="1:11" x14ac:dyDescent="0.35">
      <c r="A23" s="1">
        <v>46103</v>
      </c>
      <c r="B23">
        <v>9</v>
      </c>
      <c r="C23">
        <v>11</v>
      </c>
      <c r="D23" s="11">
        <v>288.29000000000002</v>
      </c>
      <c r="E23" s="2">
        <f t="shared" si="0"/>
        <v>2.8829000000000002</v>
      </c>
      <c r="F23" s="2">
        <f t="shared" si="1"/>
        <v>20.180300000000003</v>
      </c>
      <c r="G23" s="2">
        <f t="shared" si="2"/>
        <v>23.063200000000002</v>
      </c>
      <c r="H23" s="2"/>
      <c r="I23" s="2">
        <f t="shared" si="4"/>
        <v>32.032222222222224</v>
      </c>
      <c r="J23" s="2">
        <f t="shared" si="5"/>
        <v>26.208181818181821</v>
      </c>
      <c r="K23" s="2">
        <f t="shared" si="3"/>
        <v>1.2222222222222223</v>
      </c>
    </row>
    <row r="24" spans="1:11" x14ac:dyDescent="0.35">
      <c r="A24" s="1">
        <v>46104</v>
      </c>
      <c r="B24">
        <v>9</v>
      </c>
      <c r="C24">
        <v>12</v>
      </c>
      <c r="D24" s="11">
        <v>247.21</v>
      </c>
      <c r="E24" s="2">
        <f t="shared" si="0"/>
        <v>2.4721000000000002</v>
      </c>
      <c r="F24" s="2">
        <f t="shared" si="1"/>
        <v>17.304700000000004</v>
      </c>
      <c r="G24" s="2">
        <f t="shared" si="2"/>
        <v>19.776800000000005</v>
      </c>
      <c r="H24" s="2"/>
      <c r="I24" s="2">
        <f t="shared" si="4"/>
        <v>27.46777777777778</v>
      </c>
      <c r="J24" s="2">
        <f t="shared" si="5"/>
        <v>20.600833333333334</v>
      </c>
      <c r="K24" s="2">
        <f t="shared" si="3"/>
        <v>1.3333333333333333</v>
      </c>
    </row>
    <row r="25" spans="1:11" x14ac:dyDescent="0.35">
      <c r="A25" s="1">
        <v>46105</v>
      </c>
      <c r="B25">
        <v>6</v>
      </c>
      <c r="C25">
        <v>9</v>
      </c>
      <c r="D25" s="11">
        <v>136.1</v>
      </c>
      <c r="E25" s="2">
        <f t="shared" si="0"/>
        <v>1.361</v>
      </c>
      <c r="F25" s="2">
        <f t="shared" si="1"/>
        <v>9.527000000000001</v>
      </c>
      <c r="G25" s="2">
        <f t="shared" si="2"/>
        <v>10.888000000000002</v>
      </c>
      <c r="H25" s="2"/>
      <c r="I25" s="2">
        <f t="shared" si="4"/>
        <v>22.683333333333334</v>
      </c>
      <c r="J25" s="2">
        <f t="shared" si="5"/>
        <v>15.122222222222222</v>
      </c>
      <c r="K25" s="2">
        <f t="shared" si="3"/>
        <v>1.5</v>
      </c>
    </row>
    <row r="26" spans="1:11" x14ac:dyDescent="0.35">
      <c r="A26" s="1">
        <v>46106</v>
      </c>
      <c r="B26">
        <v>6</v>
      </c>
      <c r="C26">
        <v>12</v>
      </c>
      <c r="D26" s="11">
        <v>340.2</v>
      </c>
      <c r="E26" s="2">
        <f t="shared" si="0"/>
        <v>3.4020000000000001</v>
      </c>
      <c r="F26" s="2">
        <f t="shared" si="1"/>
        <v>23.814</v>
      </c>
      <c r="G26" s="2">
        <f t="shared" si="2"/>
        <v>27.216000000000001</v>
      </c>
      <c r="H26" s="2"/>
      <c r="I26" s="2">
        <f t="shared" si="4"/>
        <v>56.699999999999996</v>
      </c>
      <c r="J26" s="2">
        <f t="shared" si="5"/>
        <v>28.349999999999998</v>
      </c>
      <c r="K26" s="2">
        <f t="shared" si="3"/>
        <v>2</v>
      </c>
    </row>
    <row r="27" spans="1:11" x14ac:dyDescent="0.35">
      <c r="A27" s="1">
        <v>46107</v>
      </c>
      <c r="B27">
        <v>3</v>
      </c>
      <c r="C27">
        <v>3</v>
      </c>
      <c r="D27" s="11">
        <v>60.9</v>
      </c>
      <c r="E27" s="2">
        <f t="shared" si="0"/>
        <v>0.60899999999999999</v>
      </c>
      <c r="F27" s="2">
        <f t="shared" si="1"/>
        <v>4.2629999999999999</v>
      </c>
      <c r="G27" s="2">
        <f t="shared" si="2"/>
        <v>4.8719999999999999</v>
      </c>
      <c r="H27" s="2"/>
      <c r="I27" s="2">
        <f t="shared" si="4"/>
        <v>20.3</v>
      </c>
      <c r="J27" s="2">
        <f t="shared" si="5"/>
        <v>20.3</v>
      </c>
      <c r="K27" s="2">
        <f t="shared" si="3"/>
        <v>1</v>
      </c>
    </row>
    <row r="28" spans="1:11" x14ac:dyDescent="0.35">
      <c r="A28" s="1">
        <v>46108</v>
      </c>
      <c r="B28">
        <v>20</v>
      </c>
      <c r="C28">
        <v>24</v>
      </c>
      <c r="D28" s="11">
        <v>1041.6300000000001</v>
      </c>
      <c r="E28" s="2">
        <f t="shared" si="0"/>
        <v>10.416300000000001</v>
      </c>
      <c r="F28" s="2">
        <f t="shared" si="1"/>
        <v>72.914100000000019</v>
      </c>
      <c r="G28" s="2">
        <f t="shared" si="2"/>
        <v>83.330400000000026</v>
      </c>
      <c r="H28" s="2"/>
      <c r="I28" s="2">
        <f t="shared" si="4"/>
        <v>52.081500000000005</v>
      </c>
      <c r="J28" s="2">
        <f t="shared" si="5"/>
        <v>43.401250000000005</v>
      </c>
      <c r="K28" s="2">
        <f t="shared" si="3"/>
        <v>1.2</v>
      </c>
    </row>
    <row r="29" spans="1:11" x14ac:dyDescent="0.35">
      <c r="A29" s="1">
        <v>46109</v>
      </c>
      <c r="B29">
        <v>3</v>
      </c>
      <c r="C29">
        <v>5</v>
      </c>
      <c r="D29" s="11">
        <v>577.19000000000005</v>
      </c>
      <c r="E29" s="2">
        <f t="shared" si="0"/>
        <v>5.7719000000000005</v>
      </c>
      <c r="F29" s="2">
        <f t="shared" si="1"/>
        <v>40.403300000000009</v>
      </c>
      <c r="G29" s="2">
        <f t="shared" si="2"/>
        <v>46.175200000000011</v>
      </c>
      <c r="H29" s="2"/>
      <c r="I29" s="2">
        <f t="shared" si="4"/>
        <v>192.39666666666668</v>
      </c>
      <c r="J29" s="2">
        <f t="shared" si="5"/>
        <v>115.43800000000002</v>
      </c>
      <c r="K29" s="2">
        <f t="shared" si="3"/>
        <v>1.6666666666666667</v>
      </c>
    </row>
    <row r="30" spans="1:11" x14ac:dyDescent="0.35">
      <c r="A30" s="1">
        <v>46110</v>
      </c>
      <c r="B30">
        <v>2</v>
      </c>
      <c r="C30">
        <v>4</v>
      </c>
      <c r="D30" s="14">
        <v>671.34</v>
      </c>
      <c r="E30" s="2">
        <f>D30*1%</f>
        <v>6.7134</v>
      </c>
      <c r="F30" s="2">
        <f>D30*7%</f>
        <v>46.993800000000007</v>
      </c>
      <c r="G30" s="2">
        <f>E30+F30</f>
        <v>53.707200000000007</v>
      </c>
      <c r="H30" s="2"/>
      <c r="I30" s="2">
        <f t="shared" ref="I30:I32" si="6">D30/B30</f>
        <v>335.67</v>
      </c>
      <c r="J30" s="2">
        <f t="shared" ref="J30:J32" si="7">D30/C30</f>
        <v>167.83500000000001</v>
      </c>
      <c r="K30" s="2">
        <f t="shared" si="3"/>
        <v>2</v>
      </c>
    </row>
    <row r="31" spans="1:11" x14ac:dyDescent="0.35">
      <c r="A31" s="1">
        <v>46111</v>
      </c>
      <c r="B31">
        <v>3</v>
      </c>
      <c r="C31">
        <v>5</v>
      </c>
      <c r="D31" s="11">
        <v>38.659999999999997</v>
      </c>
      <c r="E31" s="2">
        <f t="shared" ref="E31:E32" si="8">D31*1%</f>
        <v>0.3866</v>
      </c>
      <c r="F31" s="2">
        <f t="shared" ref="F31:F32" si="9">D31*7%</f>
        <v>2.7061999999999999</v>
      </c>
      <c r="G31" s="2">
        <f t="shared" ref="G31:G32" si="10">E31+F31</f>
        <v>3.0928</v>
      </c>
      <c r="H31" s="2"/>
      <c r="I31" s="2">
        <f t="shared" si="6"/>
        <v>12.886666666666665</v>
      </c>
      <c r="J31" s="2">
        <f t="shared" si="7"/>
        <v>7.7319999999999993</v>
      </c>
      <c r="K31" s="2">
        <f t="shared" si="3"/>
        <v>1.6666666666666667</v>
      </c>
    </row>
    <row r="32" spans="1:11" x14ac:dyDescent="0.35">
      <c r="A32" s="1">
        <v>46112</v>
      </c>
      <c r="B32">
        <v>3</v>
      </c>
      <c r="C32">
        <v>3</v>
      </c>
      <c r="D32" s="11">
        <v>24.03</v>
      </c>
      <c r="E32" s="2">
        <f t="shared" si="8"/>
        <v>0.24030000000000001</v>
      </c>
      <c r="F32" s="2">
        <f t="shared" si="9"/>
        <v>1.6821000000000002</v>
      </c>
      <c r="G32" s="2">
        <f t="shared" si="10"/>
        <v>1.9224000000000001</v>
      </c>
      <c r="H32" s="2"/>
      <c r="I32" s="2">
        <f t="shared" si="6"/>
        <v>8.01</v>
      </c>
      <c r="J32" s="2">
        <f t="shared" si="7"/>
        <v>8.01</v>
      </c>
      <c r="K32" s="2">
        <f t="shared" si="3"/>
        <v>1</v>
      </c>
    </row>
    <row r="33" spans="1:11" x14ac:dyDescent="0.35">
      <c r="A33" s="5" t="s">
        <v>20</v>
      </c>
      <c r="B33" s="7">
        <v>106</v>
      </c>
      <c r="C33" s="7">
        <f>SUM(C2:C32)</f>
        <v>342</v>
      </c>
      <c r="D33" s="12">
        <f>SUM(D2:D32)</f>
        <v>8065.1599999999989</v>
      </c>
      <c r="E33" s="12">
        <f>SUM(E2:E32)</f>
        <v>80.651600000000002</v>
      </c>
      <c r="F33" s="12">
        <f t="shared" ref="F33" si="11">SUM(F2:F32)</f>
        <v>564.5612000000001</v>
      </c>
      <c r="G33" s="12">
        <f>SUM(G2:G32)</f>
        <v>645.21280000000013</v>
      </c>
      <c r="H33" s="12"/>
      <c r="I33" s="12">
        <f>D33/B33</f>
        <v>76.086415094339614</v>
      </c>
      <c r="J33" s="12">
        <f>D33/C33</f>
        <v>23.582339181286546</v>
      </c>
      <c r="K33" s="12">
        <f>C33/B33</f>
        <v>3.2264150943396226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7B7F-92E6-4194-B550-B557EEB5AC35}">
  <dimension ref="A1:L30"/>
  <sheetViews>
    <sheetView topLeftCell="A12" zoomScale="120" zoomScaleNormal="120" workbookViewId="0">
      <selection activeCell="C33" sqref="C33"/>
    </sheetView>
  </sheetViews>
  <sheetFormatPr defaultRowHeight="14.5" x14ac:dyDescent="0.35"/>
  <cols>
    <col min="1" max="1" width="14.453125" customWidth="1"/>
    <col min="2" max="2" width="11.54296875" bestFit="1" customWidth="1"/>
    <col min="3" max="3" width="10.1796875" bestFit="1" customWidth="1"/>
    <col min="4" max="4" width="12.1796875" customWidth="1"/>
    <col min="12" max="12" width="20.54296875" customWidth="1"/>
  </cols>
  <sheetData>
    <row r="1" spans="1:12" x14ac:dyDescent="0.35">
      <c r="A1" s="3" t="s">
        <v>11</v>
      </c>
      <c r="B1" s="3" t="s">
        <v>12</v>
      </c>
      <c r="C1" s="3" t="s">
        <v>13</v>
      </c>
      <c r="D1" s="3" t="s">
        <v>1</v>
      </c>
      <c r="E1" s="3" t="s">
        <v>14</v>
      </c>
      <c r="F1" s="3" t="s">
        <v>15</v>
      </c>
      <c r="G1" s="3" t="s">
        <v>16</v>
      </c>
      <c r="H1" s="3"/>
      <c r="I1" s="3" t="s">
        <v>4</v>
      </c>
      <c r="J1" s="3" t="s">
        <v>5</v>
      </c>
      <c r="L1" s="9" t="s">
        <v>18</v>
      </c>
    </row>
    <row r="2" spans="1:12" x14ac:dyDescent="0.35">
      <c r="A2" s="1">
        <v>46054</v>
      </c>
      <c r="B2">
        <v>4</v>
      </c>
      <c r="C2">
        <v>5</v>
      </c>
      <c r="D2">
        <v>44.45</v>
      </c>
      <c r="E2" s="2">
        <f>D2*1%</f>
        <v>0.44450000000000006</v>
      </c>
      <c r="F2" s="2">
        <f>D2*7%</f>
        <v>3.1115000000000004</v>
      </c>
      <c r="G2" s="2">
        <f>E2+F2</f>
        <v>3.5560000000000005</v>
      </c>
      <c r="H2" s="2"/>
      <c r="I2" s="2">
        <f>D2/B2</f>
        <v>11.112500000000001</v>
      </c>
      <c r="J2" s="2">
        <f>D2/C2</f>
        <v>8.89</v>
      </c>
      <c r="L2" t="s">
        <v>19</v>
      </c>
    </row>
    <row r="3" spans="1:12" x14ac:dyDescent="0.35">
      <c r="A3" s="1">
        <v>46055</v>
      </c>
      <c r="B3">
        <v>3</v>
      </c>
      <c r="C3">
        <v>3</v>
      </c>
      <c r="D3">
        <v>76.06</v>
      </c>
      <c r="E3" s="2">
        <f t="shared" ref="E3:E29" si="0">D3*1%</f>
        <v>0.76060000000000005</v>
      </c>
      <c r="F3" s="2">
        <f t="shared" ref="F3:F29" si="1">D3*7%</f>
        <v>5.3242000000000003</v>
      </c>
      <c r="G3" s="2">
        <f t="shared" ref="G3:G29" si="2">E3+F3</f>
        <v>6.0848000000000004</v>
      </c>
      <c r="H3" s="2"/>
      <c r="I3" s="2">
        <f t="shared" ref="I3:I29" si="3">D3/B3</f>
        <v>25.353333333333335</v>
      </c>
      <c r="J3" s="2">
        <f t="shared" ref="J3:J29" si="4">D3/C3</f>
        <v>25.353333333333335</v>
      </c>
      <c r="L3" t="s">
        <v>19</v>
      </c>
    </row>
    <row r="4" spans="1:12" x14ac:dyDescent="0.35">
      <c r="A4" s="1">
        <v>46056</v>
      </c>
      <c r="B4">
        <v>1</v>
      </c>
      <c r="C4">
        <v>1</v>
      </c>
      <c r="D4">
        <v>10.84</v>
      </c>
      <c r="E4" s="2">
        <f t="shared" si="0"/>
        <v>0.1084</v>
      </c>
      <c r="F4" s="2">
        <f t="shared" si="1"/>
        <v>0.75880000000000003</v>
      </c>
      <c r="G4" s="2">
        <f t="shared" si="2"/>
        <v>0.86719999999999997</v>
      </c>
      <c r="H4" s="2"/>
      <c r="I4" s="2">
        <f t="shared" si="3"/>
        <v>10.84</v>
      </c>
      <c r="J4" s="2">
        <f t="shared" si="4"/>
        <v>10.84</v>
      </c>
      <c r="L4" t="s">
        <v>19</v>
      </c>
    </row>
    <row r="5" spans="1:12" x14ac:dyDescent="0.35">
      <c r="A5" s="1">
        <v>46057</v>
      </c>
      <c r="B5">
        <v>4</v>
      </c>
      <c r="C5">
        <v>7</v>
      </c>
      <c r="D5">
        <v>133.74</v>
      </c>
      <c r="E5" s="2">
        <f t="shared" si="0"/>
        <v>1.3374000000000001</v>
      </c>
      <c r="F5" s="2">
        <f t="shared" si="1"/>
        <v>9.3618000000000023</v>
      </c>
      <c r="G5" s="2">
        <f t="shared" si="2"/>
        <v>10.699200000000003</v>
      </c>
      <c r="H5" s="2"/>
      <c r="I5" s="2">
        <f t="shared" si="3"/>
        <v>33.435000000000002</v>
      </c>
      <c r="J5" s="2">
        <f t="shared" si="4"/>
        <v>19.105714285714289</v>
      </c>
      <c r="L5" t="s">
        <v>19</v>
      </c>
    </row>
    <row r="6" spans="1:12" x14ac:dyDescent="0.35">
      <c r="A6" s="1">
        <v>46058</v>
      </c>
      <c r="B6">
        <v>2</v>
      </c>
      <c r="C6">
        <v>8</v>
      </c>
      <c r="D6">
        <v>59.52</v>
      </c>
      <c r="E6" s="2">
        <f t="shared" si="0"/>
        <v>0.59520000000000006</v>
      </c>
      <c r="F6" s="2">
        <f t="shared" si="1"/>
        <v>4.1664000000000003</v>
      </c>
      <c r="G6" s="2">
        <f t="shared" si="2"/>
        <v>4.7616000000000005</v>
      </c>
      <c r="H6" s="2"/>
      <c r="I6" s="2">
        <f t="shared" si="3"/>
        <v>29.76</v>
      </c>
      <c r="J6" s="2">
        <f t="shared" si="4"/>
        <v>7.44</v>
      </c>
      <c r="L6" t="s">
        <v>19</v>
      </c>
    </row>
    <row r="7" spans="1:12" x14ac:dyDescent="0.35">
      <c r="A7" s="1">
        <v>46059</v>
      </c>
      <c r="B7">
        <v>40</v>
      </c>
      <c r="C7">
        <v>52</v>
      </c>
      <c r="D7" s="11">
        <v>1076.94</v>
      </c>
      <c r="E7" s="2">
        <f t="shared" si="0"/>
        <v>10.769400000000001</v>
      </c>
      <c r="F7" s="2">
        <f t="shared" si="1"/>
        <v>75.385800000000017</v>
      </c>
      <c r="G7" s="2">
        <f t="shared" si="2"/>
        <v>86.155200000000022</v>
      </c>
      <c r="H7" s="2"/>
      <c r="I7" s="2">
        <f t="shared" si="3"/>
        <v>26.923500000000001</v>
      </c>
      <c r="J7" s="2">
        <f t="shared" si="4"/>
        <v>20.710384615384616</v>
      </c>
      <c r="L7" t="s">
        <v>19</v>
      </c>
    </row>
    <row r="8" spans="1:12" x14ac:dyDescent="0.35">
      <c r="A8" s="1">
        <v>46060</v>
      </c>
      <c r="B8">
        <v>13</v>
      </c>
      <c r="C8">
        <v>16</v>
      </c>
      <c r="D8">
        <v>324.11</v>
      </c>
      <c r="E8" s="2">
        <f t="shared" si="0"/>
        <v>3.2411000000000003</v>
      </c>
      <c r="F8" s="2">
        <f t="shared" si="1"/>
        <v>22.687700000000003</v>
      </c>
      <c r="G8" s="2">
        <f t="shared" si="2"/>
        <v>25.928800000000003</v>
      </c>
      <c r="H8" s="2"/>
      <c r="I8" s="2">
        <f t="shared" si="3"/>
        <v>24.931538461538462</v>
      </c>
      <c r="J8" s="2">
        <f t="shared" si="4"/>
        <v>20.256875000000001</v>
      </c>
      <c r="L8" t="s">
        <v>19</v>
      </c>
    </row>
    <row r="9" spans="1:12" x14ac:dyDescent="0.35">
      <c r="A9" s="1">
        <v>46061</v>
      </c>
      <c r="B9">
        <v>10</v>
      </c>
      <c r="C9">
        <v>20</v>
      </c>
      <c r="D9" s="11">
        <v>1152.52</v>
      </c>
      <c r="E9" s="2">
        <f t="shared" si="0"/>
        <v>11.5252</v>
      </c>
      <c r="F9" s="2">
        <f t="shared" si="1"/>
        <v>80.676400000000001</v>
      </c>
      <c r="G9" s="2">
        <f t="shared" si="2"/>
        <v>92.201599999999999</v>
      </c>
      <c r="H9" s="2"/>
      <c r="I9" s="2">
        <f t="shared" si="3"/>
        <v>115.252</v>
      </c>
      <c r="J9" s="2">
        <f t="shared" si="4"/>
        <v>57.625999999999998</v>
      </c>
      <c r="L9" t="s">
        <v>19</v>
      </c>
    </row>
    <row r="10" spans="1:12" x14ac:dyDescent="0.35">
      <c r="A10" s="1">
        <v>46062</v>
      </c>
      <c r="B10">
        <v>9</v>
      </c>
      <c r="C10">
        <v>10</v>
      </c>
      <c r="D10">
        <v>198.55</v>
      </c>
      <c r="E10" s="2">
        <f t="shared" si="0"/>
        <v>1.9855000000000003</v>
      </c>
      <c r="F10" s="2">
        <f t="shared" si="1"/>
        <v>13.898500000000002</v>
      </c>
      <c r="G10" s="2">
        <f t="shared" si="2"/>
        <v>15.884000000000002</v>
      </c>
      <c r="H10" s="2"/>
      <c r="I10" s="2">
        <f t="shared" si="3"/>
        <v>22.061111111111114</v>
      </c>
      <c r="J10" s="2">
        <f t="shared" si="4"/>
        <v>19.855</v>
      </c>
      <c r="L10" t="s">
        <v>19</v>
      </c>
    </row>
    <row r="11" spans="1:12" x14ac:dyDescent="0.35">
      <c r="A11" s="1">
        <v>46063</v>
      </c>
      <c r="B11">
        <v>78</v>
      </c>
      <c r="C11">
        <v>94</v>
      </c>
      <c r="D11">
        <v>940.34</v>
      </c>
      <c r="E11" s="2">
        <f t="shared" ref="E11:E24" si="5">D11*1%</f>
        <v>9.4034000000000013</v>
      </c>
      <c r="F11" s="2">
        <f t="shared" ref="F11:F24" si="6">D11*7%</f>
        <v>65.823800000000006</v>
      </c>
      <c r="G11" s="2">
        <f t="shared" ref="G11:G24" si="7">E11+F11</f>
        <v>75.227200000000011</v>
      </c>
      <c r="H11" s="2"/>
      <c r="I11" s="2">
        <f t="shared" ref="I11:I24" si="8">D11/B11</f>
        <v>12.055641025641027</v>
      </c>
      <c r="J11" s="2">
        <f t="shared" ref="J11:J24" si="9">D11/C11</f>
        <v>10.003617021276597</v>
      </c>
      <c r="L11" t="s">
        <v>19</v>
      </c>
    </row>
    <row r="12" spans="1:12" x14ac:dyDescent="0.35">
      <c r="A12" s="1">
        <v>46064</v>
      </c>
      <c r="B12">
        <v>16</v>
      </c>
      <c r="C12">
        <v>19</v>
      </c>
      <c r="D12">
        <v>231.14</v>
      </c>
      <c r="E12" s="2">
        <f t="shared" si="5"/>
        <v>2.3113999999999999</v>
      </c>
      <c r="F12" s="2">
        <f t="shared" si="6"/>
        <v>16.1798</v>
      </c>
      <c r="G12" s="2">
        <f t="shared" si="7"/>
        <v>18.491199999999999</v>
      </c>
      <c r="H12" s="2"/>
      <c r="I12" s="2">
        <f t="shared" si="8"/>
        <v>14.446249999999999</v>
      </c>
      <c r="J12" s="2">
        <f t="shared" si="9"/>
        <v>12.165263157894737</v>
      </c>
      <c r="L12" t="s">
        <v>19</v>
      </c>
    </row>
    <row r="13" spans="1:12" x14ac:dyDescent="0.35">
      <c r="A13" s="1">
        <v>46065</v>
      </c>
      <c r="B13">
        <v>6</v>
      </c>
      <c r="C13">
        <v>9</v>
      </c>
      <c r="D13">
        <v>92.24</v>
      </c>
      <c r="E13" s="2">
        <f t="shared" si="5"/>
        <v>0.9224</v>
      </c>
      <c r="F13" s="2">
        <f t="shared" si="6"/>
        <v>6.4568000000000003</v>
      </c>
      <c r="G13" s="2">
        <f t="shared" si="7"/>
        <v>7.3792</v>
      </c>
      <c r="H13" s="2"/>
      <c r="I13" s="2">
        <f t="shared" si="8"/>
        <v>15.373333333333333</v>
      </c>
      <c r="J13" s="2">
        <f t="shared" si="9"/>
        <v>10.248888888888889</v>
      </c>
      <c r="L13" t="s">
        <v>19</v>
      </c>
    </row>
    <row r="14" spans="1:12" x14ac:dyDescent="0.35">
      <c r="A14" s="1">
        <v>46066</v>
      </c>
      <c r="B14">
        <v>52</v>
      </c>
      <c r="C14">
        <v>77</v>
      </c>
      <c r="D14" s="11">
        <v>1225.8599999999999</v>
      </c>
      <c r="E14" s="2">
        <f t="shared" si="5"/>
        <v>12.258599999999999</v>
      </c>
      <c r="F14" s="2">
        <f t="shared" si="6"/>
        <v>85.810199999999995</v>
      </c>
      <c r="G14" s="2">
        <f t="shared" si="7"/>
        <v>98.068799999999996</v>
      </c>
      <c r="H14" s="2"/>
      <c r="I14" s="2">
        <f t="shared" si="8"/>
        <v>23.574230769230766</v>
      </c>
      <c r="J14" s="2">
        <f t="shared" si="9"/>
        <v>15.920259740259739</v>
      </c>
      <c r="L14" t="s">
        <v>19</v>
      </c>
    </row>
    <row r="15" spans="1:12" x14ac:dyDescent="0.35">
      <c r="A15" s="1">
        <v>46067</v>
      </c>
      <c r="B15">
        <v>15</v>
      </c>
      <c r="C15">
        <v>20</v>
      </c>
      <c r="D15" s="11">
        <v>343.35</v>
      </c>
      <c r="E15" s="2">
        <f t="shared" si="5"/>
        <v>3.4335000000000004</v>
      </c>
      <c r="F15" s="2">
        <f t="shared" si="6"/>
        <v>24.034500000000005</v>
      </c>
      <c r="G15" s="2">
        <f t="shared" si="7"/>
        <v>27.468000000000004</v>
      </c>
      <c r="H15" s="2"/>
      <c r="I15" s="2">
        <f t="shared" si="8"/>
        <v>22.89</v>
      </c>
      <c r="J15" s="2">
        <f t="shared" si="9"/>
        <v>17.1675</v>
      </c>
      <c r="L15" t="s">
        <v>19</v>
      </c>
    </row>
    <row r="16" spans="1:12" x14ac:dyDescent="0.35">
      <c r="A16" s="1">
        <v>46068</v>
      </c>
      <c r="B16">
        <v>11</v>
      </c>
      <c r="C16">
        <v>13</v>
      </c>
      <c r="D16" s="11">
        <v>154.43</v>
      </c>
      <c r="E16" s="2">
        <f t="shared" si="5"/>
        <v>1.5443</v>
      </c>
      <c r="F16" s="2">
        <f t="shared" si="6"/>
        <v>10.810100000000002</v>
      </c>
      <c r="G16" s="2">
        <f t="shared" si="7"/>
        <v>12.354400000000002</v>
      </c>
      <c r="H16" s="2"/>
      <c r="I16" s="2">
        <f t="shared" si="8"/>
        <v>14.039090909090909</v>
      </c>
      <c r="J16" s="2">
        <f t="shared" si="9"/>
        <v>11.879230769230769</v>
      </c>
      <c r="L16" t="s">
        <v>21</v>
      </c>
    </row>
    <row r="17" spans="1:12" x14ac:dyDescent="0.35">
      <c r="A17" s="1">
        <v>46069</v>
      </c>
      <c r="B17">
        <v>9</v>
      </c>
      <c r="C17">
        <v>12</v>
      </c>
      <c r="D17" s="11">
        <v>259.52</v>
      </c>
      <c r="E17" s="2">
        <f t="shared" si="5"/>
        <v>2.5951999999999997</v>
      </c>
      <c r="F17" s="2">
        <f t="shared" si="6"/>
        <v>18.166399999999999</v>
      </c>
      <c r="G17" s="2">
        <f t="shared" si="7"/>
        <v>20.761599999999998</v>
      </c>
      <c r="H17" s="2"/>
      <c r="I17" s="2">
        <f t="shared" si="8"/>
        <v>28.835555555555555</v>
      </c>
      <c r="J17" s="2">
        <f t="shared" si="9"/>
        <v>21.626666666666665</v>
      </c>
      <c r="L17" t="s">
        <v>19</v>
      </c>
    </row>
    <row r="18" spans="1:12" x14ac:dyDescent="0.35">
      <c r="A18" s="1">
        <v>46070</v>
      </c>
      <c r="B18">
        <v>12</v>
      </c>
      <c r="C18">
        <v>22</v>
      </c>
      <c r="D18" s="11">
        <v>363.32</v>
      </c>
      <c r="E18" s="2">
        <f t="shared" si="5"/>
        <v>3.6332</v>
      </c>
      <c r="F18" s="2">
        <f t="shared" si="6"/>
        <v>25.432400000000001</v>
      </c>
      <c r="G18" s="2">
        <f t="shared" si="7"/>
        <v>29.0656</v>
      </c>
      <c r="H18" s="2"/>
      <c r="I18" s="2">
        <f t="shared" si="8"/>
        <v>30.276666666666667</v>
      </c>
      <c r="J18" s="2">
        <f t="shared" si="9"/>
        <v>16.514545454545456</v>
      </c>
      <c r="L18" t="s">
        <v>22</v>
      </c>
    </row>
    <row r="19" spans="1:12" x14ac:dyDescent="0.35">
      <c r="A19" s="1">
        <v>46071</v>
      </c>
      <c r="B19">
        <v>4</v>
      </c>
      <c r="C19">
        <v>5</v>
      </c>
      <c r="D19" s="11">
        <v>49.51</v>
      </c>
      <c r="E19" s="2">
        <f t="shared" si="5"/>
        <v>0.49509999999999998</v>
      </c>
      <c r="F19" s="2">
        <f t="shared" si="6"/>
        <v>3.4657</v>
      </c>
      <c r="G19" s="2">
        <f t="shared" si="7"/>
        <v>3.9607999999999999</v>
      </c>
      <c r="H19" s="2"/>
      <c r="I19" s="2">
        <f t="shared" si="8"/>
        <v>12.3775</v>
      </c>
      <c r="J19" s="2">
        <f t="shared" si="9"/>
        <v>9.9019999999999992</v>
      </c>
      <c r="L19" t="s">
        <v>19</v>
      </c>
    </row>
    <row r="20" spans="1:12" x14ac:dyDescent="0.35">
      <c r="A20" s="1">
        <v>46072</v>
      </c>
      <c r="B20">
        <v>7</v>
      </c>
      <c r="C20">
        <v>15</v>
      </c>
      <c r="D20" s="11">
        <v>523.88</v>
      </c>
      <c r="E20" s="2">
        <f t="shared" si="5"/>
        <v>5.2388000000000003</v>
      </c>
      <c r="F20" s="2">
        <f t="shared" si="6"/>
        <v>36.671600000000005</v>
      </c>
      <c r="G20" s="2">
        <f t="shared" si="7"/>
        <v>41.910400000000003</v>
      </c>
      <c r="H20" s="2"/>
      <c r="I20" s="2">
        <f t="shared" si="8"/>
        <v>74.84</v>
      </c>
      <c r="J20" s="2">
        <f t="shared" si="9"/>
        <v>34.925333333333334</v>
      </c>
      <c r="L20" t="s">
        <v>19</v>
      </c>
    </row>
    <row r="21" spans="1:12" x14ac:dyDescent="0.35">
      <c r="A21" s="1">
        <v>46073</v>
      </c>
      <c r="B21">
        <v>9</v>
      </c>
      <c r="C21">
        <v>13</v>
      </c>
      <c r="D21" s="11">
        <v>160.9</v>
      </c>
      <c r="E21" s="2">
        <f t="shared" si="5"/>
        <v>1.609</v>
      </c>
      <c r="F21" s="2">
        <f t="shared" si="6"/>
        <v>11.263000000000002</v>
      </c>
      <c r="G21" s="2">
        <f t="shared" si="7"/>
        <v>12.872000000000002</v>
      </c>
      <c r="H21" s="2"/>
      <c r="I21" s="2">
        <f t="shared" si="8"/>
        <v>17.87777777777778</v>
      </c>
      <c r="J21" s="2">
        <f t="shared" si="9"/>
        <v>12.376923076923077</v>
      </c>
      <c r="L21" t="s">
        <v>19</v>
      </c>
    </row>
    <row r="22" spans="1:12" x14ac:dyDescent="0.35">
      <c r="A22" s="1">
        <v>46074</v>
      </c>
      <c r="B22">
        <v>2</v>
      </c>
      <c r="C22">
        <v>3</v>
      </c>
      <c r="D22" s="11">
        <v>15.2</v>
      </c>
      <c r="E22" s="2">
        <f t="shared" si="5"/>
        <v>0.152</v>
      </c>
      <c r="F22" s="2">
        <f t="shared" si="6"/>
        <v>1.0640000000000001</v>
      </c>
      <c r="G22" s="2">
        <f t="shared" si="7"/>
        <v>1.216</v>
      </c>
      <c r="H22" s="2"/>
      <c r="I22" s="2">
        <f t="shared" si="8"/>
        <v>7.6</v>
      </c>
      <c r="J22" s="2">
        <f t="shared" si="9"/>
        <v>5.0666666666666664</v>
      </c>
      <c r="L22" t="s">
        <v>19</v>
      </c>
    </row>
    <row r="23" spans="1:12" x14ac:dyDescent="0.35">
      <c r="A23" s="1">
        <v>46075</v>
      </c>
      <c r="B23">
        <v>8</v>
      </c>
      <c r="C23">
        <v>15</v>
      </c>
      <c r="D23" s="11">
        <v>137.55000000000001</v>
      </c>
      <c r="E23" s="2">
        <f t="shared" si="5"/>
        <v>1.3755000000000002</v>
      </c>
      <c r="F23" s="2">
        <f t="shared" si="6"/>
        <v>9.6285000000000025</v>
      </c>
      <c r="G23" s="2">
        <f t="shared" si="7"/>
        <v>11.004000000000003</v>
      </c>
      <c r="H23" s="2"/>
      <c r="I23" s="2">
        <f t="shared" si="8"/>
        <v>17.193750000000001</v>
      </c>
      <c r="J23" s="2">
        <f t="shared" si="9"/>
        <v>9.17</v>
      </c>
      <c r="L23" t="s">
        <v>19</v>
      </c>
    </row>
    <row r="24" spans="1:12" x14ac:dyDescent="0.35">
      <c r="A24" s="1">
        <v>46076</v>
      </c>
      <c r="B24">
        <v>4</v>
      </c>
      <c r="C24">
        <v>5</v>
      </c>
      <c r="D24" s="11">
        <v>21.72</v>
      </c>
      <c r="E24" s="2">
        <f t="shared" si="5"/>
        <v>0.2172</v>
      </c>
      <c r="F24" s="2">
        <f t="shared" si="6"/>
        <v>1.5204</v>
      </c>
      <c r="G24" s="2">
        <f t="shared" si="7"/>
        <v>1.7376</v>
      </c>
      <c r="H24" s="2"/>
      <c r="I24" s="2">
        <f t="shared" si="8"/>
        <v>5.43</v>
      </c>
      <c r="J24" s="2">
        <f t="shared" si="9"/>
        <v>4.3439999999999994</v>
      </c>
    </row>
    <row r="25" spans="1:12" x14ac:dyDescent="0.35">
      <c r="A25" s="1">
        <v>46077</v>
      </c>
      <c r="B25">
        <v>5</v>
      </c>
      <c r="C25">
        <v>6</v>
      </c>
      <c r="D25" s="11">
        <v>161.71</v>
      </c>
      <c r="E25" s="2">
        <f t="shared" si="0"/>
        <v>1.6171000000000002</v>
      </c>
      <c r="F25" s="2">
        <f t="shared" si="1"/>
        <v>11.319700000000001</v>
      </c>
      <c r="G25" s="2">
        <f t="shared" si="2"/>
        <v>12.936800000000002</v>
      </c>
      <c r="H25" s="2"/>
      <c r="I25" s="2">
        <f t="shared" si="3"/>
        <v>32.341999999999999</v>
      </c>
      <c r="J25" s="2">
        <f t="shared" si="4"/>
        <v>26.951666666666668</v>
      </c>
    </row>
    <row r="26" spans="1:12" x14ac:dyDescent="0.35">
      <c r="A26" s="1">
        <v>46078</v>
      </c>
      <c r="B26">
        <v>7</v>
      </c>
      <c r="C26">
        <v>8</v>
      </c>
      <c r="D26" s="11">
        <v>159.36000000000001</v>
      </c>
      <c r="E26" s="2">
        <f t="shared" si="0"/>
        <v>1.5936000000000001</v>
      </c>
      <c r="F26" s="2">
        <f t="shared" si="1"/>
        <v>11.155200000000002</v>
      </c>
      <c r="G26" s="2">
        <f t="shared" si="2"/>
        <v>12.748800000000003</v>
      </c>
      <c r="H26" s="2"/>
      <c r="I26" s="2">
        <f t="shared" si="3"/>
        <v>22.765714285714289</v>
      </c>
      <c r="J26" s="2">
        <f t="shared" si="4"/>
        <v>19.920000000000002</v>
      </c>
    </row>
    <row r="27" spans="1:12" x14ac:dyDescent="0.35">
      <c r="A27" s="1">
        <v>46079</v>
      </c>
      <c r="B27">
        <v>3</v>
      </c>
      <c r="C27">
        <v>3</v>
      </c>
      <c r="D27" s="11">
        <v>12.93</v>
      </c>
      <c r="E27" s="2">
        <f t="shared" si="0"/>
        <v>0.1293</v>
      </c>
      <c r="F27" s="2">
        <f t="shared" si="1"/>
        <v>0.90510000000000002</v>
      </c>
      <c r="G27" s="2">
        <f t="shared" si="2"/>
        <v>1.0344</v>
      </c>
      <c r="H27" s="2"/>
      <c r="I27" s="2">
        <f t="shared" si="3"/>
        <v>4.3099999999999996</v>
      </c>
      <c r="J27" s="2">
        <f t="shared" si="4"/>
        <v>4.3099999999999996</v>
      </c>
    </row>
    <row r="28" spans="1:12" x14ac:dyDescent="0.35">
      <c r="A28" s="1">
        <v>46080</v>
      </c>
      <c r="B28">
        <v>5</v>
      </c>
      <c r="C28">
        <v>8</v>
      </c>
      <c r="D28" s="11">
        <v>93</v>
      </c>
      <c r="E28" s="2">
        <f t="shared" si="0"/>
        <v>0.93</v>
      </c>
      <c r="F28" s="2">
        <f t="shared" si="1"/>
        <v>6.5100000000000007</v>
      </c>
      <c r="G28" s="2">
        <f t="shared" si="2"/>
        <v>7.44</v>
      </c>
      <c r="H28" s="2"/>
      <c r="I28" s="2">
        <f t="shared" si="3"/>
        <v>18.600000000000001</v>
      </c>
      <c r="J28" s="2">
        <f t="shared" si="4"/>
        <v>11.625</v>
      </c>
    </row>
    <row r="29" spans="1:12" x14ac:dyDescent="0.35">
      <c r="A29" s="1">
        <v>46081</v>
      </c>
      <c r="B29">
        <v>7</v>
      </c>
      <c r="C29">
        <v>10</v>
      </c>
      <c r="D29" s="11">
        <v>240.96</v>
      </c>
      <c r="E29" s="2">
        <f t="shared" si="0"/>
        <v>2.4096000000000002</v>
      </c>
      <c r="F29" s="2">
        <f t="shared" si="1"/>
        <v>16.8672</v>
      </c>
      <c r="G29" s="2">
        <f t="shared" si="2"/>
        <v>19.276800000000001</v>
      </c>
      <c r="H29" s="2"/>
      <c r="I29" s="2">
        <f t="shared" si="3"/>
        <v>34.422857142857147</v>
      </c>
      <c r="J29" s="2">
        <f t="shared" si="4"/>
        <v>24.096</v>
      </c>
    </row>
    <row r="30" spans="1:12" x14ac:dyDescent="0.35">
      <c r="A30" s="5" t="s">
        <v>20</v>
      </c>
      <c r="B30" s="7">
        <v>225</v>
      </c>
      <c r="C30" s="7">
        <f>SUM(C2:C29)</f>
        <v>479</v>
      </c>
      <c r="D30" s="12">
        <f>SUM(D2:D29)</f>
        <v>8263.65</v>
      </c>
      <c r="E30" s="12">
        <f t="shared" ref="E30:G30" si="10">SUM(E2:E29)</f>
        <v>82.636499999999998</v>
      </c>
      <c r="F30" s="12">
        <f t="shared" si="10"/>
        <v>578.45550000000003</v>
      </c>
      <c r="G30" s="12">
        <f t="shared" si="10"/>
        <v>661.09199999999998</v>
      </c>
      <c r="H30" s="12"/>
      <c r="I30" s="12">
        <f>D30/B30</f>
        <v>36.727333333333334</v>
      </c>
      <c r="J30" s="12">
        <f>D30/C30</f>
        <v>17.251878914405008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DF02-D64A-480A-B52E-48B37FE41862}">
  <dimension ref="A1:L18"/>
  <sheetViews>
    <sheetView zoomScale="120" zoomScaleNormal="120" workbookViewId="0">
      <selection activeCell="G18" sqref="G18"/>
    </sheetView>
  </sheetViews>
  <sheetFormatPr defaultRowHeight="14.5" x14ac:dyDescent="0.35"/>
  <cols>
    <col min="1" max="1" width="14.453125" customWidth="1"/>
    <col min="2" max="2" width="11.54296875" bestFit="1" customWidth="1"/>
    <col min="3" max="3" width="10.1796875" bestFit="1" customWidth="1"/>
    <col min="4" max="4" width="12.1796875" customWidth="1"/>
    <col min="12" max="12" width="20.54296875" customWidth="1"/>
  </cols>
  <sheetData>
    <row r="1" spans="1:12" x14ac:dyDescent="0.35">
      <c r="A1" s="3" t="s">
        <v>11</v>
      </c>
      <c r="B1" s="3" t="s">
        <v>12</v>
      </c>
      <c r="C1" s="3" t="s">
        <v>13</v>
      </c>
      <c r="D1" s="3" t="s">
        <v>1</v>
      </c>
      <c r="E1" s="3" t="s">
        <v>14</v>
      </c>
      <c r="F1" s="3" t="s">
        <v>15</v>
      </c>
      <c r="G1" s="3" t="s">
        <v>16</v>
      </c>
      <c r="H1" s="3"/>
      <c r="I1" s="3" t="s">
        <v>4</v>
      </c>
      <c r="J1" s="3" t="s">
        <v>5</v>
      </c>
      <c r="L1" s="9" t="s">
        <v>18</v>
      </c>
    </row>
    <row r="2" spans="1:12" x14ac:dyDescent="0.35">
      <c r="A2" s="1">
        <v>46029</v>
      </c>
      <c r="B2">
        <v>1</v>
      </c>
      <c r="C2">
        <v>1</v>
      </c>
      <c r="D2">
        <v>4.2</v>
      </c>
      <c r="E2" s="2">
        <f>D2*1%</f>
        <v>4.2000000000000003E-2</v>
      </c>
      <c r="F2" s="2">
        <f>D2*7%</f>
        <v>0.29400000000000004</v>
      </c>
      <c r="G2" s="2">
        <f>E2+F2</f>
        <v>0.33600000000000002</v>
      </c>
      <c r="H2" s="2"/>
      <c r="I2" s="2">
        <f>D2/B2</f>
        <v>4.2</v>
      </c>
      <c r="J2" s="2">
        <f>D2/C2</f>
        <v>4.2</v>
      </c>
      <c r="L2" t="s">
        <v>19</v>
      </c>
    </row>
    <row r="3" spans="1:12" x14ac:dyDescent="0.35">
      <c r="A3" s="1">
        <v>46031</v>
      </c>
      <c r="B3">
        <v>1</v>
      </c>
      <c r="C3">
        <v>1</v>
      </c>
      <c r="D3">
        <v>1.0900000000000001</v>
      </c>
      <c r="E3" s="2">
        <f t="shared" ref="E3:E14" si="0">D3*1%</f>
        <v>1.0900000000000002E-2</v>
      </c>
      <c r="F3" s="2">
        <f t="shared" ref="F3:F14" si="1">D3*7%</f>
        <v>7.6300000000000007E-2</v>
      </c>
      <c r="G3" s="2">
        <f t="shared" ref="G3:G14" si="2">E3+F3</f>
        <v>8.7200000000000014E-2</v>
      </c>
      <c r="H3" s="2"/>
      <c r="I3" s="2">
        <f t="shared" ref="I3:I14" si="3">D3/B3</f>
        <v>1.0900000000000001</v>
      </c>
      <c r="J3" s="2">
        <f t="shared" ref="J3:J14" si="4">D3/C3</f>
        <v>1.0900000000000001</v>
      </c>
      <c r="L3" t="s">
        <v>19</v>
      </c>
    </row>
    <row r="4" spans="1:12" x14ac:dyDescent="0.35">
      <c r="A4" s="1">
        <v>46034</v>
      </c>
      <c r="B4">
        <v>2</v>
      </c>
      <c r="C4">
        <v>3</v>
      </c>
      <c r="D4">
        <v>10.29</v>
      </c>
      <c r="E4" s="2">
        <f t="shared" si="0"/>
        <v>0.10289999999999999</v>
      </c>
      <c r="F4" s="2">
        <f t="shared" si="1"/>
        <v>0.72030000000000005</v>
      </c>
      <c r="G4" s="2">
        <f t="shared" si="2"/>
        <v>0.82320000000000004</v>
      </c>
      <c r="H4" s="2"/>
      <c r="I4" s="2">
        <f t="shared" si="3"/>
        <v>5.1449999999999996</v>
      </c>
      <c r="J4" s="2">
        <f t="shared" si="4"/>
        <v>3.4299999999999997</v>
      </c>
      <c r="L4" t="s">
        <v>23</v>
      </c>
    </row>
    <row r="5" spans="1:12" x14ac:dyDescent="0.35">
      <c r="A5" s="1">
        <v>46041</v>
      </c>
      <c r="B5">
        <v>1</v>
      </c>
      <c r="C5">
        <v>1</v>
      </c>
      <c r="D5">
        <v>2.3199999999999998</v>
      </c>
      <c r="E5" s="2">
        <f t="shared" si="0"/>
        <v>2.3199999999999998E-2</v>
      </c>
      <c r="F5" s="2">
        <f t="shared" si="1"/>
        <v>0.16240000000000002</v>
      </c>
      <c r="G5" s="2">
        <f t="shared" si="2"/>
        <v>0.18560000000000001</v>
      </c>
      <c r="H5" s="2"/>
      <c r="I5" s="2">
        <f t="shared" si="3"/>
        <v>2.3199999999999998</v>
      </c>
      <c r="J5" s="2">
        <f t="shared" si="4"/>
        <v>2.3199999999999998</v>
      </c>
      <c r="L5" t="s">
        <v>19</v>
      </c>
    </row>
    <row r="6" spans="1:12" x14ac:dyDescent="0.35">
      <c r="A6" s="1">
        <v>46042</v>
      </c>
      <c r="B6">
        <v>8</v>
      </c>
      <c r="C6">
        <v>14</v>
      </c>
      <c r="D6">
        <v>120.96</v>
      </c>
      <c r="E6" s="2">
        <f t="shared" si="0"/>
        <v>1.2096</v>
      </c>
      <c r="F6" s="2">
        <f t="shared" si="1"/>
        <v>8.4672000000000001</v>
      </c>
      <c r="G6" s="2">
        <f t="shared" si="2"/>
        <v>9.6768000000000001</v>
      </c>
      <c r="H6" s="2"/>
      <c r="I6" s="2">
        <f t="shared" si="3"/>
        <v>15.12</v>
      </c>
      <c r="J6" s="2">
        <f t="shared" si="4"/>
        <v>8.6399999999999988</v>
      </c>
      <c r="L6" t="s">
        <v>24</v>
      </c>
    </row>
    <row r="7" spans="1:12" x14ac:dyDescent="0.35">
      <c r="A7" s="1">
        <v>46043</v>
      </c>
      <c r="B7">
        <v>5</v>
      </c>
      <c r="C7">
        <v>7</v>
      </c>
      <c r="D7">
        <v>113.66</v>
      </c>
      <c r="E7" s="2">
        <f t="shared" si="0"/>
        <v>1.1366000000000001</v>
      </c>
      <c r="F7" s="2">
        <f t="shared" si="1"/>
        <v>7.9562000000000008</v>
      </c>
      <c r="G7" s="2">
        <f t="shared" si="2"/>
        <v>9.0928000000000004</v>
      </c>
      <c r="H7" s="2"/>
      <c r="I7" s="2">
        <f t="shared" si="3"/>
        <v>22.731999999999999</v>
      </c>
      <c r="J7" s="2">
        <f t="shared" si="4"/>
        <v>16.237142857142857</v>
      </c>
      <c r="L7" t="s">
        <v>19</v>
      </c>
    </row>
    <row r="8" spans="1:12" x14ac:dyDescent="0.35">
      <c r="A8" s="1">
        <v>46044</v>
      </c>
      <c r="B8">
        <v>1</v>
      </c>
      <c r="C8">
        <v>1</v>
      </c>
      <c r="D8">
        <v>108.45</v>
      </c>
      <c r="E8" s="2">
        <f t="shared" si="0"/>
        <v>1.0845</v>
      </c>
      <c r="F8" s="2">
        <f t="shared" si="1"/>
        <v>7.5915000000000008</v>
      </c>
      <c r="G8" s="2">
        <f t="shared" si="2"/>
        <v>8.6760000000000002</v>
      </c>
      <c r="H8" s="2"/>
      <c r="I8" s="2">
        <f t="shared" si="3"/>
        <v>108.45</v>
      </c>
      <c r="J8" s="2">
        <f t="shared" si="4"/>
        <v>108.45</v>
      </c>
      <c r="L8" t="s">
        <v>19</v>
      </c>
    </row>
    <row r="9" spans="1:12" x14ac:dyDescent="0.35">
      <c r="A9" s="1">
        <v>46045</v>
      </c>
      <c r="B9">
        <v>14</v>
      </c>
      <c r="C9">
        <v>19</v>
      </c>
      <c r="D9">
        <v>209.08</v>
      </c>
      <c r="E9" s="2">
        <f t="shared" si="0"/>
        <v>2.0908000000000002</v>
      </c>
      <c r="F9" s="2">
        <f t="shared" si="1"/>
        <v>14.635600000000002</v>
      </c>
      <c r="G9" s="2">
        <f t="shared" si="2"/>
        <v>16.726400000000002</v>
      </c>
      <c r="H9" s="2"/>
      <c r="I9" s="2">
        <f t="shared" si="3"/>
        <v>14.934285714285716</v>
      </c>
      <c r="J9" s="2">
        <f t="shared" si="4"/>
        <v>11.00421052631579</v>
      </c>
      <c r="L9" t="s">
        <v>25</v>
      </c>
    </row>
    <row r="10" spans="1:12" x14ac:dyDescent="0.35">
      <c r="A10" s="1">
        <v>46046</v>
      </c>
      <c r="B10">
        <v>3</v>
      </c>
      <c r="C10">
        <v>4</v>
      </c>
      <c r="D10">
        <v>55.48</v>
      </c>
      <c r="E10" s="2">
        <f t="shared" si="0"/>
        <v>0.55479999999999996</v>
      </c>
      <c r="F10" s="2">
        <f t="shared" si="1"/>
        <v>3.8835999999999999</v>
      </c>
      <c r="G10" s="2">
        <f t="shared" si="2"/>
        <v>4.4383999999999997</v>
      </c>
      <c r="H10" s="2"/>
      <c r="I10" s="2">
        <f t="shared" si="3"/>
        <v>18.493333333333332</v>
      </c>
      <c r="J10" s="2">
        <f t="shared" si="4"/>
        <v>13.87</v>
      </c>
      <c r="L10" t="s">
        <v>19</v>
      </c>
    </row>
    <row r="11" spans="1:12" x14ac:dyDescent="0.35">
      <c r="A11" s="1">
        <v>46047</v>
      </c>
      <c r="B11">
        <v>1</v>
      </c>
      <c r="C11">
        <v>2</v>
      </c>
      <c r="D11">
        <v>22.84</v>
      </c>
      <c r="E11" s="2">
        <f t="shared" si="0"/>
        <v>0.22839999999999999</v>
      </c>
      <c r="F11" s="2">
        <f t="shared" si="1"/>
        <v>1.5988000000000002</v>
      </c>
      <c r="G11" s="2">
        <f t="shared" si="2"/>
        <v>1.8272000000000002</v>
      </c>
      <c r="H11" s="2"/>
      <c r="I11" s="2">
        <f t="shared" si="3"/>
        <v>22.84</v>
      </c>
      <c r="J11" s="2">
        <f t="shared" si="4"/>
        <v>11.42</v>
      </c>
      <c r="L11" t="s">
        <v>19</v>
      </c>
    </row>
    <row r="12" spans="1:12" x14ac:dyDescent="0.35">
      <c r="A12" s="1">
        <v>46048</v>
      </c>
      <c r="B12">
        <v>1</v>
      </c>
      <c r="C12">
        <v>1</v>
      </c>
      <c r="D12">
        <v>10.84</v>
      </c>
      <c r="E12" s="2">
        <f t="shared" si="0"/>
        <v>0.1084</v>
      </c>
      <c r="F12" s="2">
        <f t="shared" si="1"/>
        <v>0.75880000000000003</v>
      </c>
      <c r="G12" s="2">
        <f t="shared" si="2"/>
        <v>0.86719999999999997</v>
      </c>
      <c r="H12" s="2"/>
      <c r="I12" s="2">
        <f t="shared" si="3"/>
        <v>10.84</v>
      </c>
      <c r="J12" s="2">
        <f t="shared" si="4"/>
        <v>10.84</v>
      </c>
      <c r="L12" t="s">
        <v>19</v>
      </c>
    </row>
    <row r="13" spans="1:12" x14ac:dyDescent="0.35">
      <c r="A13" s="1">
        <v>46049</v>
      </c>
      <c r="B13">
        <v>12</v>
      </c>
      <c r="C13">
        <v>12</v>
      </c>
      <c r="D13">
        <v>121.81</v>
      </c>
      <c r="E13" s="2">
        <f t="shared" si="0"/>
        <v>1.2181</v>
      </c>
      <c r="F13" s="2">
        <f t="shared" si="1"/>
        <v>8.5267000000000017</v>
      </c>
      <c r="G13" s="2">
        <f t="shared" si="2"/>
        <v>9.7448000000000015</v>
      </c>
      <c r="H13" s="2"/>
      <c r="I13" s="2">
        <f t="shared" si="3"/>
        <v>10.150833333333333</v>
      </c>
      <c r="J13" s="2">
        <f t="shared" si="4"/>
        <v>10.150833333333333</v>
      </c>
      <c r="L13" t="s">
        <v>19</v>
      </c>
    </row>
    <row r="14" spans="1:12" x14ac:dyDescent="0.35">
      <c r="A14" s="1">
        <v>46050</v>
      </c>
      <c r="B14">
        <v>5</v>
      </c>
      <c r="C14">
        <v>5</v>
      </c>
      <c r="D14">
        <v>56.49</v>
      </c>
      <c r="E14" s="2">
        <f t="shared" si="0"/>
        <v>0.56490000000000007</v>
      </c>
      <c r="F14" s="2">
        <f t="shared" si="1"/>
        <v>3.9543000000000004</v>
      </c>
      <c r="G14" s="2">
        <f t="shared" si="2"/>
        <v>4.5192000000000005</v>
      </c>
      <c r="H14" s="2"/>
      <c r="I14" s="2">
        <f t="shared" si="3"/>
        <v>11.298</v>
      </c>
      <c r="J14" s="2">
        <f t="shared" si="4"/>
        <v>11.298</v>
      </c>
    </row>
    <row r="15" spans="1:12" x14ac:dyDescent="0.35">
      <c r="A15" s="1">
        <v>46051</v>
      </c>
      <c r="B15">
        <v>4</v>
      </c>
      <c r="C15">
        <v>5</v>
      </c>
      <c r="D15">
        <v>37.21</v>
      </c>
      <c r="E15" s="2">
        <f t="shared" ref="E15:E17" si="5">D15*1%</f>
        <v>0.37210000000000004</v>
      </c>
      <c r="F15" s="2">
        <f t="shared" ref="F15:F17" si="6">D15*7%</f>
        <v>2.6047000000000002</v>
      </c>
      <c r="G15" s="2">
        <f t="shared" ref="G15:G17" si="7">E15+F15</f>
        <v>2.9768000000000003</v>
      </c>
      <c r="H15" s="2"/>
      <c r="I15" s="2">
        <f t="shared" ref="I15:I17" si="8">D15/B15</f>
        <v>9.3025000000000002</v>
      </c>
      <c r="J15" s="2">
        <f t="shared" ref="J15:J17" si="9">D15/C15</f>
        <v>7.4420000000000002</v>
      </c>
    </row>
    <row r="16" spans="1:12" x14ac:dyDescent="0.35">
      <c r="A16" s="1">
        <v>46052</v>
      </c>
      <c r="B16">
        <v>3</v>
      </c>
      <c r="C16">
        <v>5</v>
      </c>
      <c r="D16">
        <v>29.31</v>
      </c>
      <c r="E16" s="2">
        <f t="shared" si="5"/>
        <v>0.29309999999999997</v>
      </c>
      <c r="F16" s="2">
        <f t="shared" si="6"/>
        <v>2.0517000000000003</v>
      </c>
      <c r="G16" s="2">
        <f t="shared" si="7"/>
        <v>2.3448000000000002</v>
      </c>
      <c r="H16" s="2"/>
      <c r="I16" s="2">
        <f t="shared" si="8"/>
        <v>9.77</v>
      </c>
      <c r="J16" s="2">
        <f t="shared" si="9"/>
        <v>5.8620000000000001</v>
      </c>
    </row>
    <row r="17" spans="1:10" x14ac:dyDescent="0.35">
      <c r="A17" s="1">
        <v>46053</v>
      </c>
      <c r="B17">
        <v>4</v>
      </c>
      <c r="C17">
        <v>4</v>
      </c>
      <c r="D17">
        <v>39.31</v>
      </c>
      <c r="E17" s="2">
        <f t="shared" si="5"/>
        <v>0.3931</v>
      </c>
      <c r="F17" s="2">
        <f t="shared" si="6"/>
        <v>2.7517000000000005</v>
      </c>
      <c r="G17" s="2">
        <f t="shared" si="7"/>
        <v>3.1448000000000005</v>
      </c>
      <c r="H17" s="2"/>
      <c r="I17" s="2">
        <f t="shared" si="8"/>
        <v>9.8275000000000006</v>
      </c>
      <c r="J17" s="2">
        <f t="shared" si="9"/>
        <v>9.8275000000000006</v>
      </c>
    </row>
    <row r="18" spans="1:10" x14ac:dyDescent="0.35">
      <c r="A18" s="5" t="s">
        <v>20</v>
      </c>
      <c r="B18" s="10">
        <v>49</v>
      </c>
      <c r="C18" s="10">
        <f>SUM(C2:C17)</f>
        <v>85</v>
      </c>
      <c r="D18" s="4">
        <f>SUM(D2:D17)</f>
        <v>943.33999999999992</v>
      </c>
      <c r="E18" s="4">
        <f>SUM(E2:E17)</f>
        <v>9.4334000000000007</v>
      </c>
      <c r="F18" s="4">
        <f t="shared" ref="F18" si="10">SUM(F2:F17)</f>
        <v>66.033800000000014</v>
      </c>
      <c r="G18" s="4">
        <f>SUM(G2:G17)</f>
        <v>75.467200000000005</v>
      </c>
      <c r="H18" s="3"/>
      <c r="I18" s="4">
        <f>D18/B18</f>
        <v>19.251836734693875</v>
      </c>
      <c r="J18" s="4">
        <f>D18/C18</f>
        <v>11.098117647058823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E551-BF8B-4A4C-91E5-74421CF66C5A}">
  <dimension ref="A1:G14"/>
  <sheetViews>
    <sheetView zoomScale="114" zoomScaleNormal="120" workbookViewId="0">
      <selection activeCell="I7" sqref="I7"/>
    </sheetView>
  </sheetViews>
  <sheetFormatPr defaultRowHeight="14.5" x14ac:dyDescent="0.35"/>
  <cols>
    <col min="3" max="3" width="18.453125" bestFit="1" customWidth="1"/>
    <col min="4" max="4" width="10.7265625" customWidth="1"/>
  </cols>
  <sheetData>
    <row r="1" spans="1:7" x14ac:dyDescent="0.35">
      <c r="B1" t="s">
        <v>0</v>
      </c>
      <c r="C1" t="s">
        <v>26</v>
      </c>
      <c r="D1" t="s">
        <v>27</v>
      </c>
      <c r="F1" t="s">
        <v>28</v>
      </c>
      <c r="G1" t="s">
        <v>29</v>
      </c>
    </row>
    <row r="2" spans="1:7" x14ac:dyDescent="0.35">
      <c r="A2" t="s">
        <v>30</v>
      </c>
      <c r="B2" s="8">
        <v>46023</v>
      </c>
      <c r="C2" s="6">
        <v>475657.38740000001</v>
      </c>
      <c r="D2" s="6">
        <f>C2/32</f>
        <v>14864.29335625</v>
      </c>
      <c r="F2" s="6">
        <f>C2/31</f>
        <v>15343.78669032258</v>
      </c>
      <c r="G2" s="6">
        <f>D2/31</f>
        <v>479.49333407258064</v>
      </c>
    </row>
    <row r="3" spans="1:7" x14ac:dyDescent="0.35">
      <c r="A3" t="s">
        <v>31</v>
      </c>
      <c r="B3" s="8">
        <v>46054</v>
      </c>
      <c r="C3" s="6">
        <v>713486.08109999995</v>
      </c>
      <c r="D3" s="6">
        <f t="shared" ref="D3:D13" si="0">C3/32</f>
        <v>22296.440034374999</v>
      </c>
      <c r="F3" s="6">
        <f>C3/28</f>
        <v>25481.645753571425</v>
      </c>
      <c r="G3" s="6">
        <f>D3/28</f>
        <v>796.30142979910704</v>
      </c>
    </row>
    <row r="4" spans="1:7" x14ac:dyDescent="0.35">
      <c r="A4" t="s">
        <v>32</v>
      </c>
      <c r="B4" s="8">
        <v>46082</v>
      </c>
      <c r="C4" s="6">
        <v>1189143.4685000002</v>
      </c>
      <c r="D4" s="6">
        <f t="shared" si="0"/>
        <v>37160.733390625006</v>
      </c>
      <c r="F4" s="6">
        <f t="shared" ref="F4:F13" si="1">C4/31</f>
        <v>38359.466725806458</v>
      </c>
      <c r="G4" s="6">
        <f t="shared" ref="G4:G13" si="2">D4/31</f>
        <v>1198.7333351814518</v>
      </c>
    </row>
    <row r="5" spans="1:7" x14ac:dyDescent="0.35">
      <c r="A5" t="s">
        <v>33</v>
      </c>
      <c r="B5" s="8">
        <v>46113</v>
      </c>
      <c r="C5" s="6">
        <v>1664800.8559000003</v>
      </c>
      <c r="D5" s="6">
        <f t="shared" si="0"/>
        <v>52025.02674687501</v>
      </c>
      <c r="F5" s="6">
        <f>C5/30</f>
        <v>55493.361863333346</v>
      </c>
      <c r="G5" s="6">
        <f>D5/30</f>
        <v>1734.1675582291671</v>
      </c>
    </row>
    <row r="6" spans="1:7" x14ac:dyDescent="0.35">
      <c r="A6" t="s">
        <v>34</v>
      </c>
      <c r="B6" s="8">
        <v>46143</v>
      </c>
      <c r="C6" s="6">
        <v>2140458.2433000002</v>
      </c>
      <c r="D6" s="6">
        <f t="shared" si="0"/>
        <v>66889.320103125006</v>
      </c>
      <c r="F6" s="6">
        <f t="shared" si="1"/>
        <v>69047.040106451619</v>
      </c>
      <c r="G6" s="6">
        <f t="shared" si="2"/>
        <v>2157.7200033266131</v>
      </c>
    </row>
    <row r="7" spans="1:7" x14ac:dyDescent="0.35">
      <c r="A7" t="s">
        <v>35</v>
      </c>
      <c r="B7" s="8">
        <v>46174</v>
      </c>
      <c r="C7" s="6">
        <v>2378286.9370000004</v>
      </c>
      <c r="D7" s="6">
        <f t="shared" si="0"/>
        <v>74321.466781250012</v>
      </c>
      <c r="F7" s="6">
        <f>C7/30</f>
        <v>79276.231233333339</v>
      </c>
      <c r="G7" s="6">
        <f>D7/30</f>
        <v>2477.3822260416669</v>
      </c>
    </row>
    <row r="8" spans="1:7" x14ac:dyDescent="0.35">
      <c r="A8" t="s">
        <v>36</v>
      </c>
      <c r="B8" s="8">
        <v>46204</v>
      </c>
      <c r="C8" s="6">
        <v>2378286.9370000004</v>
      </c>
      <c r="D8" s="6">
        <f t="shared" si="0"/>
        <v>74321.466781250012</v>
      </c>
      <c r="F8" s="6">
        <f t="shared" si="1"/>
        <v>76718.933451612917</v>
      </c>
      <c r="G8" s="6">
        <f t="shared" si="2"/>
        <v>2397.4666703629036</v>
      </c>
    </row>
    <row r="9" spans="1:7" x14ac:dyDescent="0.35">
      <c r="A9" t="s">
        <v>37</v>
      </c>
      <c r="B9" s="8">
        <v>46235</v>
      </c>
      <c r="C9" s="6">
        <v>2616115.6307000001</v>
      </c>
      <c r="D9" s="6">
        <f t="shared" si="0"/>
        <v>81753.613459375003</v>
      </c>
      <c r="F9" s="6">
        <f t="shared" si="1"/>
        <v>84390.826796774199</v>
      </c>
      <c r="G9" s="6">
        <f t="shared" si="2"/>
        <v>2637.2133373991937</v>
      </c>
    </row>
    <row r="10" spans="1:7" x14ac:dyDescent="0.35">
      <c r="A10" t="s">
        <v>38</v>
      </c>
      <c r="B10" s="8">
        <v>46266</v>
      </c>
      <c r="C10" s="6">
        <v>2616115.6307000001</v>
      </c>
      <c r="D10" s="6">
        <f t="shared" si="0"/>
        <v>81753.613459375003</v>
      </c>
      <c r="F10" s="6">
        <f>C10/30</f>
        <v>87203.854356666663</v>
      </c>
      <c r="G10" s="6">
        <f>D10/30</f>
        <v>2725.1204486458332</v>
      </c>
    </row>
    <row r="11" spans="1:7" x14ac:dyDescent="0.35">
      <c r="A11" t="s">
        <v>39</v>
      </c>
      <c r="B11" s="8">
        <v>46296</v>
      </c>
      <c r="C11" s="6">
        <v>2853944.3243999998</v>
      </c>
      <c r="D11" s="6">
        <f t="shared" si="0"/>
        <v>89185.760137499994</v>
      </c>
      <c r="F11" s="6">
        <f t="shared" si="1"/>
        <v>92062.720141935482</v>
      </c>
      <c r="G11" s="6">
        <f t="shared" si="2"/>
        <v>2876.9600044354838</v>
      </c>
    </row>
    <row r="12" spans="1:7" x14ac:dyDescent="0.35">
      <c r="A12" t="s">
        <v>40</v>
      </c>
      <c r="B12" s="8">
        <v>46327</v>
      </c>
      <c r="C12" s="6">
        <v>2853944.3243999998</v>
      </c>
      <c r="D12" s="6">
        <f t="shared" si="0"/>
        <v>89185.760137499994</v>
      </c>
      <c r="F12" s="6">
        <f>C12/30</f>
        <v>95131.477479999987</v>
      </c>
      <c r="G12" s="6">
        <f>D12/30</f>
        <v>2972.8586712499996</v>
      </c>
    </row>
    <row r="13" spans="1:7" x14ac:dyDescent="0.35">
      <c r="A13" t="s">
        <v>41</v>
      </c>
      <c r="B13" s="8">
        <v>46357</v>
      </c>
      <c r="C13" s="6">
        <v>3091773.0181000005</v>
      </c>
      <c r="D13" s="6">
        <f t="shared" si="0"/>
        <v>96617.906815625014</v>
      </c>
      <c r="F13" s="6">
        <f t="shared" si="1"/>
        <v>99734.613487096794</v>
      </c>
      <c r="G13" s="6">
        <f t="shared" si="2"/>
        <v>3116.7066714717748</v>
      </c>
    </row>
    <row r="14" spans="1:7" x14ac:dyDescent="0.35">
      <c r="C14" s="7">
        <f>SUM(C2:C13)</f>
        <v>24972012.838500001</v>
      </c>
    </row>
  </sheetData>
  <pageMargins left="0.7" right="0.7" top="0.75" bottom="0.75" header="0.3" footer="0.3"/>
  <ignoredErrors>
    <ignoredError sqref="F3:G1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3C7C-5786-436F-8D9A-860F8FE34855}">
  <dimension ref="B2:P30"/>
  <sheetViews>
    <sheetView zoomScale="108" workbookViewId="0">
      <selection activeCell="Q25" sqref="Q25"/>
    </sheetView>
  </sheetViews>
  <sheetFormatPr defaultRowHeight="14.5" x14ac:dyDescent="0.35"/>
  <cols>
    <col min="2" max="2" width="26.54296875" bestFit="1" customWidth="1"/>
    <col min="6" max="6" width="10.08984375" bestFit="1" customWidth="1"/>
    <col min="7" max="11" width="11.08984375" bestFit="1" customWidth="1"/>
    <col min="12" max="14" width="12.7265625" bestFit="1" customWidth="1"/>
    <col min="15" max="15" width="12.36328125" bestFit="1" customWidth="1"/>
    <col min="16" max="16" width="8.6328125" bestFit="1" customWidth="1"/>
  </cols>
  <sheetData>
    <row r="2" spans="2:16" x14ac:dyDescent="0.35">
      <c r="B2" t="s">
        <v>55</v>
      </c>
    </row>
    <row r="6" spans="2:16" x14ac:dyDescent="0.35">
      <c r="B6" s="3" t="s">
        <v>47</v>
      </c>
      <c r="C6" s="18">
        <v>46023</v>
      </c>
      <c r="D6" s="18">
        <v>46054</v>
      </c>
      <c r="E6" s="18">
        <v>46082</v>
      </c>
      <c r="F6" s="18">
        <v>46113</v>
      </c>
      <c r="G6" s="18">
        <v>46143</v>
      </c>
      <c r="H6" s="18">
        <v>46174</v>
      </c>
      <c r="I6" s="18">
        <v>46204</v>
      </c>
      <c r="J6" s="18">
        <v>46235</v>
      </c>
      <c r="K6" s="18">
        <v>46266</v>
      </c>
      <c r="L6" s="18">
        <v>46296</v>
      </c>
      <c r="M6" s="18">
        <v>46327</v>
      </c>
      <c r="N6" s="18">
        <v>46357</v>
      </c>
      <c r="O6" s="32" t="s">
        <v>52</v>
      </c>
      <c r="P6" s="29" t="s">
        <v>53</v>
      </c>
    </row>
    <row r="7" spans="2:16" x14ac:dyDescent="0.35">
      <c r="B7" t="s">
        <v>45</v>
      </c>
      <c r="C7" s="19">
        <v>943.34</v>
      </c>
      <c r="D7" s="20">
        <v>8263.65</v>
      </c>
      <c r="E7" s="20">
        <v>8065.16</v>
      </c>
      <c r="F7" s="21">
        <v>9164.5300000000007</v>
      </c>
      <c r="G7" s="23"/>
      <c r="H7" s="23"/>
      <c r="I7" s="23"/>
      <c r="J7" s="23"/>
      <c r="K7" s="23"/>
      <c r="L7" s="23"/>
      <c r="M7" s="23"/>
      <c r="N7" s="23"/>
      <c r="O7" s="28">
        <f>SUM(C7:N7)</f>
        <v>26436.68</v>
      </c>
      <c r="P7" s="30" t="s">
        <v>54</v>
      </c>
    </row>
    <row r="8" spans="2:16" x14ac:dyDescent="0.35">
      <c r="B8" t="s">
        <v>56</v>
      </c>
      <c r="C8" s="19">
        <v>943.34</v>
      </c>
      <c r="D8" s="20">
        <v>8263.65</v>
      </c>
      <c r="E8" s="20">
        <v>8065.16</v>
      </c>
      <c r="F8" s="23">
        <v>10922.66</v>
      </c>
      <c r="G8" s="23">
        <v>14383.53</v>
      </c>
      <c r="H8" s="23">
        <v>18335.599999999999</v>
      </c>
      <c r="I8" s="23">
        <v>22393.56</v>
      </c>
      <c r="J8" s="23">
        <v>26285.67</v>
      </c>
      <c r="K8" s="23">
        <v>30396.06</v>
      </c>
      <c r="L8" s="23">
        <v>34155.839999999997</v>
      </c>
      <c r="M8" s="23">
        <v>38039.919999999998</v>
      </c>
      <c r="N8" s="23">
        <v>41516.800000000003</v>
      </c>
      <c r="O8" s="28">
        <f>SUM(C8:N8)</f>
        <v>253701.78999999998</v>
      </c>
      <c r="P8" s="31">
        <f>(O7-O8)/O8</f>
        <v>-0.89579624172143213</v>
      </c>
    </row>
    <row r="9" spans="2:16" x14ac:dyDescent="0.35">
      <c r="B9" t="s">
        <v>57</v>
      </c>
      <c r="C9" s="19"/>
      <c r="D9" s="20"/>
      <c r="E9" s="20"/>
      <c r="F9" s="23"/>
      <c r="G9" s="23"/>
      <c r="H9" s="23"/>
      <c r="I9" s="23"/>
      <c r="J9" s="23"/>
      <c r="K9" s="23"/>
      <c r="L9" s="23"/>
      <c r="M9" s="23"/>
      <c r="N9" s="23"/>
      <c r="O9" s="28"/>
      <c r="P9" s="31"/>
    </row>
    <row r="10" spans="2:16" x14ac:dyDescent="0.35">
      <c r="B10" t="s">
        <v>51</v>
      </c>
      <c r="C10" s="22"/>
      <c r="D10" s="22"/>
      <c r="E10" s="22"/>
      <c r="F10" s="23">
        <v>27736.799999999999</v>
      </c>
      <c r="G10" s="23">
        <v>107142.28</v>
      </c>
      <c r="H10" s="23">
        <v>186512.2</v>
      </c>
      <c r="I10" s="23">
        <v>265917.68</v>
      </c>
      <c r="J10" s="23">
        <v>345287.6</v>
      </c>
      <c r="K10" s="23">
        <v>424693.08</v>
      </c>
      <c r="L10" s="23">
        <v>504098.56</v>
      </c>
      <c r="M10" s="23">
        <v>583468.48</v>
      </c>
      <c r="N10" s="23">
        <v>662873.96</v>
      </c>
      <c r="O10" s="28">
        <f>SUM(F10:N10)</f>
        <v>3107730.6399999997</v>
      </c>
      <c r="P10" s="31">
        <f>(O7-O10)/O10</f>
        <v>-0.9914932524525355</v>
      </c>
    </row>
    <row r="11" spans="2:16" x14ac:dyDescent="0.35">
      <c r="B11" t="s">
        <v>50</v>
      </c>
      <c r="C11" s="22"/>
      <c r="D11" s="22"/>
      <c r="E11" s="22"/>
      <c r="F11" s="23">
        <v>27736.799999999999</v>
      </c>
      <c r="G11" s="23">
        <v>193944.24</v>
      </c>
      <c r="H11" s="23">
        <v>360116.12</v>
      </c>
      <c r="I11" s="23">
        <v>526323.56000000006</v>
      </c>
      <c r="J11" s="23">
        <v>692531</v>
      </c>
      <c r="K11" s="23">
        <v>858738.44</v>
      </c>
      <c r="L11" s="23">
        <v>1024910.32</v>
      </c>
      <c r="M11" s="23">
        <v>1191117.76</v>
      </c>
      <c r="N11" s="23">
        <v>1357325.2</v>
      </c>
      <c r="O11" s="28">
        <f>SUM(O8:O10)</f>
        <v>3361432.4299999997</v>
      </c>
      <c r="P11" s="31">
        <f>(O7-O11)/O11</f>
        <v>-0.99213529334575967</v>
      </c>
    </row>
    <row r="12" spans="2:16" x14ac:dyDescent="0.35">
      <c r="F12" s="11"/>
      <c r="G12" s="11"/>
      <c r="H12" s="11"/>
      <c r="I12" s="11"/>
      <c r="J12" s="11"/>
      <c r="K12" s="11"/>
      <c r="L12" s="11"/>
      <c r="M12" s="11"/>
      <c r="N12" s="11"/>
      <c r="O12" s="28"/>
    </row>
    <row r="13" spans="2:16" x14ac:dyDescent="0.35">
      <c r="O13" s="28"/>
    </row>
    <row r="14" spans="2:16" x14ac:dyDescent="0.35">
      <c r="O14" s="28"/>
    </row>
    <row r="15" spans="2:16" x14ac:dyDescent="0.35">
      <c r="B15" s="3" t="s">
        <v>46</v>
      </c>
      <c r="C15" s="18">
        <v>46023</v>
      </c>
      <c r="D15" s="18">
        <v>46054</v>
      </c>
      <c r="E15" s="18">
        <v>46082</v>
      </c>
      <c r="F15" s="18">
        <v>46113</v>
      </c>
      <c r="G15" s="18">
        <v>46143</v>
      </c>
      <c r="H15" s="18">
        <v>46174</v>
      </c>
      <c r="I15" s="18">
        <v>46204</v>
      </c>
      <c r="J15" s="18">
        <v>46235</v>
      </c>
      <c r="K15" s="18">
        <v>46266</v>
      </c>
      <c r="L15" s="18">
        <v>46296</v>
      </c>
      <c r="M15" s="18">
        <v>46327</v>
      </c>
      <c r="N15" s="18">
        <v>46357</v>
      </c>
      <c r="O15" s="32" t="s">
        <v>52</v>
      </c>
      <c r="P15" s="29" t="s">
        <v>53</v>
      </c>
    </row>
    <row r="16" spans="2:16" x14ac:dyDescent="0.35">
      <c r="B16" t="s">
        <v>45</v>
      </c>
      <c r="C16" s="19">
        <v>75.739999999999995</v>
      </c>
      <c r="D16" s="19">
        <v>661.09</v>
      </c>
      <c r="E16" s="19">
        <v>645.21</v>
      </c>
      <c r="F16" s="24">
        <v>733.16</v>
      </c>
      <c r="G16" s="18"/>
      <c r="H16" s="18"/>
      <c r="I16" s="18"/>
      <c r="J16" s="18"/>
      <c r="K16" s="18"/>
      <c r="L16" s="18"/>
      <c r="M16" s="18"/>
      <c r="N16" s="18"/>
      <c r="O16" s="28">
        <f>SUM(C16:N16)</f>
        <v>2115.1999999999998</v>
      </c>
      <c r="P16" s="30" t="s">
        <v>54</v>
      </c>
    </row>
    <row r="17" spans="2:16" x14ac:dyDescent="0.35">
      <c r="B17" t="s">
        <v>56</v>
      </c>
      <c r="C17" s="19">
        <v>75.739999999999995</v>
      </c>
      <c r="D17" s="19">
        <v>661.09</v>
      </c>
      <c r="E17" s="19">
        <v>645.21</v>
      </c>
      <c r="F17" s="25">
        <v>873.81</v>
      </c>
      <c r="G17" s="25">
        <v>1150.68</v>
      </c>
      <c r="H17" s="26">
        <v>1466.85</v>
      </c>
      <c r="I17" s="26">
        <v>1791.48</v>
      </c>
      <c r="J17" s="26">
        <v>2102.85</v>
      </c>
      <c r="K17" s="26">
        <v>2431.6799999999998</v>
      </c>
      <c r="L17" s="26">
        <v>2732.47</v>
      </c>
      <c r="M17" s="26">
        <v>3043.19</v>
      </c>
      <c r="N17" s="26">
        <v>3321.34</v>
      </c>
      <c r="O17" s="28">
        <f>SUM(C17:N17)</f>
        <v>20296.39</v>
      </c>
      <c r="P17" s="31">
        <f>(O16-O17)/O17</f>
        <v>-0.89578442274709935</v>
      </c>
    </row>
    <row r="18" spans="2:16" x14ac:dyDescent="0.35">
      <c r="B18" t="s">
        <v>57</v>
      </c>
      <c r="C18" s="19"/>
      <c r="D18" s="19"/>
      <c r="E18" s="19"/>
      <c r="F18" s="25"/>
      <c r="G18" s="25"/>
      <c r="H18" s="26"/>
      <c r="I18" s="26"/>
      <c r="J18" s="26"/>
      <c r="K18" s="26"/>
      <c r="L18" s="26"/>
      <c r="M18" s="26"/>
      <c r="N18" s="26"/>
      <c r="O18" s="28"/>
      <c r="P18" s="31"/>
    </row>
    <row r="19" spans="2:16" x14ac:dyDescent="0.35">
      <c r="B19" t="s">
        <v>43</v>
      </c>
      <c r="C19" s="22"/>
      <c r="D19" s="22"/>
      <c r="E19" s="22"/>
      <c r="F19" s="23">
        <v>2218.94</v>
      </c>
      <c r="G19" s="23">
        <v>8571.3799999999992</v>
      </c>
      <c r="H19" s="23">
        <v>14920.98</v>
      </c>
      <c r="I19" s="23">
        <v>21273.41</v>
      </c>
      <c r="J19" s="23">
        <v>27623.01</v>
      </c>
      <c r="K19" s="23">
        <v>33975.449999999997</v>
      </c>
      <c r="L19" s="23">
        <v>40327.879999999997</v>
      </c>
      <c r="M19" s="23">
        <v>46677.48</v>
      </c>
      <c r="N19" s="23">
        <v>53029.919999999998</v>
      </c>
      <c r="O19" s="28">
        <f>SUM(F19:N19)</f>
        <v>248618.45</v>
      </c>
      <c r="P19" s="31">
        <f>(O16-O19)/O19</f>
        <v>-0.99149218410781659</v>
      </c>
    </row>
    <row r="20" spans="2:16" x14ac:dyDescent="0.35">
      <c r="B20" t="s">
        <v>44</v>
      </c>
      <c r="C20" s="22"/>
      <c r="D20" s="22"/>
      <c r="E20" s="22"/>
      <c r="F20" s="23">
        <v>2218.94</v>
      </c>
      <c r="G20" s="23">
        <v>15515.54</v>
      </c>
      <c r="H20" s="23">
        <v>28809.29</v>
      </c>
      <c r="I20" s="23">
        <v>42105.88</v>
      </c>
      <c r="J20" s="23">
        <v>55402.48</v>
      </c>
      <c r="K20" s="23">
        <v>68699.08</v>
      </c>
      <c r="L20" s="23">
        <v>81992.83</v>
      </c>
      <c r="M20" s="23">
        <v>95289.42</v>
      </c>
      <c r="N20" s="23">
        <v>108586.02</v>
      </c>
      <c r="O20" s="28">
        <f>SUM(F20:N20)</f>
        <v>498619.48000000004</v>
      </c>
      <c r="P20" s="31">
        <f>(O16-O20)/O20</f>
        <v>-0.99575788735730897</v>
      </c>
    </row>
    <row r="21" spans="2:16" x14ac:dyDescent="0.35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8"/>
    </row>
    <row r="22" spans="2:16" x14ac:dyDescent="0.35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8"/>
    </row>
    <row r="23" spans="2:16" x14ac:dyDescent="0.35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8"/>
    </row>
    <row r="24" spans="2:16" x14ac:dyDescent="0.35">
      <c r="B24" s="3" t="s">
        <v>2</v>
      </c>
      <c r="C24" s="18">
        <v>46023</v>
      </c>
      <c r="D24" s="18">
        <v>46054</v>
      </c>
      <c r="E24" s="18">
        <v>46082</v>
      </c>
      <c r="F24" s="18">
        <v>46113</v>
      </c>
      <c r="G24" s="18">
        <v>46143</v>
      </c>
      <c r="H24" s="18">
        <v>46174</v>
      </c>
      <c r="I24" s="18">
        <v>46204</v>
      </c>
      <c r="J24" s="18">
        <v>46235</v>
      </c>
      <c r="K24" s="18">
        <v>46266</v>
      </c>
      <c r="L24" s="18">
        <v>46296</v>
      </c>
      <c r="M24" s="18">
        <v>46327</v>
      </c>
      <c r="N24" s="18">
        <v>46357</v>
      </c>
      <c r="O24" s="32" t="s">
        <v>52</v>
      </c>
      <c r="P24" s="29" t="s">
        <v>53</v>
      </c>
    </row>
    <row r="25" spans="2:16" x14ac:dyDescent="0.35">
      <c r="B25" t="s">
        <v>45</v>
      </c>
      <c r="C25" s="19">
        <v>49</v>
      </c>
      <c r="D25" s="19">
        <v>225</v>
      </c>
      <c r="E25" s="19">
        <v>106</v>
      </c>
      <c r="F25" s="24">
        <v>279</v>
      </c>
      <c r="O25" s="27">
        <f>SUM(C25:N25)</f>
        <v>659</v>
      </c>
      <c r="P25" s="30" t="s">
        <v>54</v>
      </c>
    </row>
    <row r="26" spans="2:16" x14ac:dyDescent="0.35">
      <c r="B26" t="s">
        <v>56</v>
      </c>
      <c r="C26" s="22"/>
      <c r="D26" s="22"/>
      <c r="E26" s="22"/>
      <c r="F26" s="22">
        <v>122</v>
      </c>
      <c r="G26" s="22">
        <v>153</v>
      </c>
      <c r="H26" s="22">
        <v>184</v>
      </c>
      <c r="I26" s="22">
        <v>212</v>
      </c>
      <c r="J26" s="22">
        <v>237</v>
      </c>
      <c r="K26" s="22">
        <v>261</v>
      </c>
      <c r="L26" s="22">
        <v>282</v>
      </c>
      <c r="M26" s="22">
        <v>302</v>
      </c>
      <c r="N26" s="22">
        <v>320</v>
      </c>
      <c r="O26" s="27">
        <f>SUM(F26:N26)</f>
        <v>2073</v>
      </c>
      <c r="P26" s="31">
        <f>(O25-O26)/O26</f>
        <v>-0.68210323203087309</v>
      </c>
    </row>
    <row r="27" spans="2:16" x14ac:dyDescent="0.35">
      <c r="B27" t="s">
        <v>57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7"/>
      <c r="P27" s="31"/>
    </row>
    <row r="28" spans="2:16" x14ac:dyDescent="0.35">
      <c r="B28" t="s">
        <v>48</v>
      </c>
      <c r="C28" s="22"/>
      <c r="D28" s="22"/>
      <c r="E28" s="22"/>
      <c r="F28" s="22">
        <v>780</v>
      </c>
      <c r="G28" s="22">
        <v>3013</v>
      </c>
      <c r="H28" s="22">
        <v>5245</v>
      </c>
      <c r="I28" s="22">
        <v>7478</v>
      </c>
      <c r="J28" s="22">
        <v>9710</v>
      </c>
      <c r="K28" s="22">
        <v>11943</v>
      </c>
      <c r="L28" s="22">
        <v>14176</v>
      </c>
      <c r="M28" s="22">
        <v>16408</v>
      </c>
      <c r="N28" s="22">
        <v>18641</v>
      </c>
      <c r="O28" s="27">
        <f>SUM(F28:N28)</f>
        <v>87394</v>
      </c>
      <c r="P28" s="31">
        <f>(O25-O28)/O28</f>
        <v>-0.99245943657459323</v>
      </c>
    </row>
    <row r="29" spans="2:16" x14ac:dyDescent="0.35">
      <c r="B29" t="s">
        <v>49</v>
      </c>
      <c r="C29" s="22"/>
      <c r="D29" s="22"/>
      <c r="E29" s="22"/>
      <c r="F29" s="22">
        <v>780</v>
      </c>
      <c r="G29" s="22">
        <v>5454</v>
      </c>
      <c r="H29" s="22">
        <v>10127</v>
      </c>
      <c r="I29" s="22">
        <v>14801</v>
      </c>
      <c r="J29" s="22">
        <v>19475</v>
      </c>
      <c r="K29" s="22">
        <v>24149</v>
      </c>
      <c r="L29" s="22">
        <v>28822</v>
      </c>
      <c r="M29" s="22">
        <v>33496</v>
      </c>
      <c r="N29" s="22">
        <v>38170</v>
      </c>
      <c r="O29" s="27">
        <f>SUM(F29:N29)</f>
        <v>175274</v>
      </c>
      <c r="P29" s="31">
        <f>(O25-O29)/O29</f>
        <v>-0.99624017252986752</v>
      </c>
    </row>
    <row r="30" spans="2:16" x14ac:dyDescent="0.35">
      <c r="O30" s="27"/>
    </row>
  </sheetData>
  <conditionalFormatting sqref="P8:P11">
    <cfRule type="cellIs" dxfId="5" priority="1" operator="lessThan">
      <formula>0</formula>
    </cfRule>
    <cfRule type="cellIs" dxfId="4" priority="2" operator="greaterThanOrEqual">
      <formula>0</formula>
    </cfRule>
  </conditionalFormatting>
  <conditionalFormatting sqref="P17:P20">
    <cfRule type="cellIs" dxfId="3" priority="3" operator="lessThan">
      <formula>0</formula>
    </cfRule>
    <cfRule type="cellIs" dxfId="2" priority="4" operator="greaterThanOrEqual">
      <formula>0</formula>
    </cfRule>
  </conditionalFormatting>
  <conditionalFormatting sqref="P26:P29">
    <cfRule type="cellIs" dxfId="1" priority="5" operator="lessThan">
      <formula>0</formula>
    </cfRule>
    <cfRule type="cellIs" dxfId="0" priority="6" operator="greaterThanOr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9E7C46B92B3C45898124831120DC17" ma:contentTypeVersion="15" ma:contentTypeDescription="Create a new document." ma:contentTypeScope="" ma:versionID="2ad2f25aabdd0f607a6f6b4294fbcd80">
  <xsd:schema xmlns:xsd="http://www.w3.org/2001/XMLSchema" xmlns:xs="http://www.w3.org/2001/XMLSchema" xmlns:p="http://schemas.microsoft.com/office/2006/metadata/properties" xmlns:ns2="2ef1c3e2-b12d-4d3a-ba36-e5b51e48d597" xmlns:ns3="c9d5c5b7-2a37-44e0-ba5a-da01bc18b8c7" targetNamespace="http://schemas.microsoft.com/office/2006/metadata/properties" ma:root="true" ma:fieldsID="0a595880d694cbfc69e703df30ed53b6" ns2:_="" ns3:_="">
    <xsd:import namespace="2ef1c3e2-b12d-4d3a-ba36-e5b51e48d597"/>
    <xsd:import namespace="c9d5c5b7-2a37-44e0-ba5a-da01bc18b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1c3e2-b12d-4d3a-ba36-e5b51e48d5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1ef90e8-ab03-42c4-b445-853405744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5c5b7-2a37-44e0-ba5a-da01bc18b8c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942054c-a3bc-4692-8ad9-00a7f61c9ff9}" ma:internalName="TaxCatchAll" ma:showField="CatchAllData" ma:web="c9d5c5b7-2a37-44e0-ba5a-da01bc18b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f1c3e2-b12d-4d3a-ba36-e5b51e48d597">
      <Terms xmlns="http://schemas.microsoft.com/office/infopath/2007/PartnerControls"/>
    </lcf76f155ced4ddcb4097134ff3c332f>
    <TaxCatchAll xmlns="c9d5c5b7-2a37-44e0-ba5a-da01bc18b8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CC3D6-FAF7-4962-94B7-5162E070E9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f1c3e2-b12d-4d3a-ba36-e5b51e48d597"/>
    <ds:schemaRef ds:uri="c9d5c5b7-2a37-44e0-ba5a-da01bc18b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F2CE1D-4394-4BE5-B738-5E834F1B9051}">
  <ds:schemaRefs>
    <ds:schemaRef ds:uri="http://schemas.microsoft.com/office/2006/metadata/properties"/>
    <ds:schemaRef ds:uri="http://schemas.microsoft.com/office/infopath/2007/PartnerControls"/>
    <ds:schemaRef ds:uri="2ef1c3e2-b12d-4d3a-ba36-e5b51e48d597"/>
    <ds:schemaRef ds:uri="c9d5c5b7-2a37-44e0-ba5a-da01bc18b8c7"/>
  </ds:schemaRefs>
</ds:datastoreItem>
</file>

<file path=customXml/itemProps3.xml><?xml version="1.0" encoding="utf-8"?>
<ds:datastoreItem xmlns:ds="http://schemas.openxmlformats.org/officeDocument/2006/customXml" ds:itemID="{BE5D3A7C-C09E-49E8-8164-E323DC9D097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f7e89be-4439-4290-a40f-c043c710bb8c}" enabled="0" method="" siteId="{5f7e89be-4439-4290-a40f-c043c710bb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April 26</vt:lpstr>
      <vt:lpstr>Mac '26</vt:lpstr>
      <vt:lpstr>Feb '26</vt:lpstr>
      <vt:lpstr>Jan '26</vt:lpstr>
      <vt:lpstr>Forecast</vt:lpstr>
      <vt:lpstr>Forecast Target vs Stretch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Siew Wei Hong</dc:creator>
  <cp:keywords/>
  <dc:description/>
  <cp:lastModifiedBy>Muhammad Zulikhmal Bin Zulkarnine</cp:lastModifiedBy>
  <cp:revision/>
  <dcterms:created xsi:type="dcterms:W3CDTF">2026-01-22T06:10:07Z</dcterms:created>
  <dcterms:modified xsi:type="dcterms:W3CDTF">2026-04-15T03:23:56Z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0x010100B69E7C46B92B3C45898124831120DC17</vt:lpwstr>
  </property>
</Properties>
</file>